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201"/>
  <workbookPr defaultThemeVersion="124226"/>
  <mc:AlternateContent xmlns:mc="http://schemas.openxmlformats.org/markup-compatibility/2006">
    <mc:Choice Requires="x15">
      <x15ac:absPath xmlns:x15ac="http://schemas.microsoft.com/office/spreadsheetml/2010/11/ac" url="/Users/rleach/PROJECT-local/TRACEBASE/tracebase/DataRepo/data/tests/small_obob/small_obob_maven_6eaas_serum/"/>
    </mc:Choice>
  </mc:AlternateContent>
  <xr:revisionPtr revIDLastSave="0" documentId="13_ncr:1_{E5890C4F-ABCF-8C4A-B313-C0683D93F587}" xr6:coauthVersionLast="47" xr6:coauthVersionMax="47" xr10:uidLastSave="{00000000-0000-0000-0000-000000000000}"/>
  <bookViews>
    <workbookView xWindow="2500" yWindow="3920" windowWidth="30580" windowHeight="15020" activeTab="9" xr2:uid="{00000000-000D-0000-FFFF-FFFF00000000}"/>
  </bookViews>
  <sheets>
    <sheet name="Study" sheetId="1" r:id="rId1"/>
    <sheet name="Tracers" sheetId="2" r:id="rId2"/>
    <sheet name="Infusates" sheetId="3" r:id="rId3"/>
    <sheet name="Animals" sheetId="4" r:id="rId4"/>
    <sheet name="Samples" sheetId="5" r:id="rId5"/>
    <sheet name="Sequences" sheetId="6" r:id="rId6"/>
    <sheet name="Peak Annotation Files" sheetId="7" r:id="rId7"/>
    <sheet name="Peak Annotation Details" sheetId="8" r:id="rId8"/>
    <sheet name="Peak Group Conflicts" sheetId="9" state="hidden" r:id="rId9"/>
    <sheet name="Treatments" sheetId="10" r:id="rId10"/>
    <sheet name="Tissues" sheetId="11" r:id="rId11"/>
    <sheet name="Compounds" sheetId="12" r:id="rId12"/>
    <sheet name="LC Protocols"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6" i="13" l="1"/>
  <c r="G6" i="2" a="1"/>
  <c r="A17" i="13"/>
  <c r="G13" i="2" a="1"/>
  <c r="E8" i="3" a="1"/>
  <c r="A22" i="6"/>
  <c r="E12" i="3" a="1"/>
  <c r="G16" i="2" a="1"/>
  <c r="E4" i="3" a="1"/>
  <c r="E14" i="3" a="1"/>
  <c r="G21" i="2" a="1"/>
  <c r="A15" i="13"/>
  <c r="E16" i="3" a="1"/>
  <c r="A3" i="6"/>
  <c r="A25" i="13"/>
  <c r="A7" i="13"/>
  <c r="E11" i="3" a="1"/>
  <c r="A10" i="6"/>
  <c r="A24" i="13"/>
  <c r="A14" i="13"/>
  <c r="A19" i="6"/>
  <c r="G10" i="2" a="1"/>
  <c r="G7" i="2" a="1"/>
  <c r="E7" i="3" a="1"/>
  <c r="A4" i="6"/>
  <c r="A7" i="6"/>
  <c r="A13" i="13"/>
  <c r="A2" i="6"/>
  <c r="A8" i="6"/>
  <c r="A18" i="6"/>
  <c r="G22" i="2" a="1"/>
  <c r="A21" i="6"/>
  <c r="G15" i="2" a="1"/>
  <c r="G14" i="2" a="1"/>
  <c r="G11" i="2" a="1"/>
  <c r="G18" i="2" a="1"/>
  <c r="A10" i="13"/>
  <c r="E19" i="3" a="1"/>
  <c r="A19" i="13"/>
  <c r="A14" i="6"/>
  <c r="G19" i="2" a="1"/>
  <c r="E20" i="3" a="1"/>
  <c r="A6" i="6"/>
  <c r="A17" i="6"/>
  <c r="A20" i="6"/>
  <c r="A11" i="13"/>
  <c r="A9" i="13"/>
  <c r="E10" i="3" a="1"/>
  <c r="A15" i="6"/>
  <c r="A11" i="6"/>
  <c r="E15" i="3" a="1"/>
  <c r="A12" i="6"/>
  <c r="G5" i="2" a="1"/>
  <c r="A9" i="6"/>
  <c r="E17" i="3" a="1"/>
  <c r="G4" i="2" a="1"/>
  <c r="A8" i="13"/>
  <c r="E9" i="3" a="1"/>
  <c r="E18" i="3" a="1"/>
  <c r="G12" i="2" a="1"/>
  <c r="A20" i="13"/>
  <c r="A12" i="13"/>
  <c r="A18" i="13"/>
  <c r="A22" i="13"/>
  <c r="E6" i="3" a="1"/>
  <c r="A16" i="6"/>
  <c r="E22" i="3" a="1"/>
  <c r="A21" i="13"/>
  <c r="E13" i="3" a="1"/>
  <c r="G20" i="2" a="1"/>
  <c r="A5" i="6"/>
  <c r="G8" i="2" a="1"/>
  <c r="A16" i="13"/>
  <c r="G17" i="2" a="1"/>
  <c r="G9" i="2" a="1"/>
  <c r="G3" i="2" a="1"/>
  <c r="E5" i="3" a="1"/>
  <c r="A23" i="13"/>
  <c r="E3" i="3" a="1"/>
  <c r="A13" i="6"/>
  <c r="E21" i="3" a="1"/>
  <c r="E21" i="3" l="1"/>
  <c r="E3" i="3"/>
  <c r="E5" i="3"/>
  <c r="G3" i="2"/>
  <c r="G9" i="2"/>
  <c r="G17" i="2"/>
  <c r="G8" i="2"/>
  <c r="G20" i="2"/>
  <c r="E13" i="3"/>
  <c r="E22" i="3"/>
  <c r="E6" i="3"/>
  <c r="G12" i="2"/>
  <c r="E18" i="3"/>
  <c r="E9" i="3"/>
  <c r="G4" i="2"/>
  <c r="E17" i="3"/>
  <c r="G5" i="2"/>
  <c r="E15" i="3"/>
  <c r="E10" i="3"/>
  <c r="E20" i="3"/>
  <c r="G19" i="2"/>
  <c r="E19" i="3"/>
  <c r="G18" i="2"/>
  <c r="G11" i="2"/>
  <c r="G14" i="2"/>
  <c r="G15" i="2"/>
  <c r="G22" i="2"/>
  <c r="E7" i="3"/>
  <c r="G7" i="2"/>
  <c r="G10" i="2"/>
  <c r="E11" i="3"/>
  <c r="E16" i="3"/>
  <c r="G21" i="2"/>
  <c r="E14" i="3"/>
  <c r="E4" i="3"/>
  <c r="G16" i="2"/>
  <c r="E12" i="3"/>
  <c r="E8" i="3"/>
  <c r="G13" i="2"/>
  <c r="G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TraceBase Dev Team</author>
  </authors>
  <commentList>
    <comment ref="A1" authorId="0" shapeId="0" xr:uid="{00000000-0006-0000-0000-000001000000}">
      <text>
        <r>
          <rPr>
            <sz val="10"/>
            <color indexed="81"/>
            <rFont val="Courier"/>
            <family val="2"/>
          </rPr>
          <t>A succinct name for the study, which is a collection of one or more series of
animals and their associated data.
Must be unique.
Required.</t>
        </r>
      </text>
    </comment>
    <comment ref="B1" authorId="0" shapeId="0" xr:uid="{00000000-0006-0000-0000-000002000000}">
      <text>
        <r>
          <rPr>
            <sz val="10"/>
            <color indexed="81"/>
            <rFont val="Courier"/>
            <family val="2"/>
          </rPr>
          <t>A long form description for the study which may include the experimental design
process, citations, and other relevant details.
The values in this column are referenced by the 'Study' column in the 'Animals'
sheet.
Optional.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TraceBase Dev Team</author>
  </authors>
  <commentList>
    <comment ref="A1" authorId="0" shapeId="0" xr:uid="{00000000-0006-0000-0100-000001000000}">
      <text>
        <r>
          <rPr>
            <sz val="10"/>
            <color indexed="81"/>
            <rFont val="Courier"/>
            <family val="2"/>
          </rPr>
          <t>Arbitrary number that identifies every row containing a label that belongs to a
tracer.  Each row defines 1 label and this value links them together.
The values in this column are not loaded into the database.  It is only used to
populate the Tracer Name column using an excel formula.  All rows having the
same Tracer Row Group are used to build the Tracer Name column values.
Required.</t>
        </r>
      </text>
    </comment>
    <comment ref="B1" authorId="0" shapeId="0" xr:uid="{00000000-0006-0000-0100-000002000000}">
      <text>
        <r>
          <rPr>
            <sz val="10"/>
            <color indexed="81"/>
            <rFont val="Courier"/>
            <family val="2"/>
          </rPr>
          <t>Primary name of the compound for which this is a tracer.
The dropdown menus in this column are populated by the Compound column in the
Compounds sheet.
Select a 'Compound' from the dropdowns in this column.  The dropdowns are
populated by the 'Compound' column in the 'Compounds' sheet, so if the dropdowns
are empty, add rows to the 'Compounds' sheet.
Required.</t>
        </r>
      </text>
    </comment>
    <comment ref="C1" authorId="0" shapeId="0" xr:uid="{00000000-0006-0000-0100-000003000000}">
      <text>
        <r>
          <rPr>
            <sz val="10"/>
            <color indexed="81"/>
            <rFont val="Courier"/>
            <family val="2"/>
          </rPr>
          <t>The sum of the number of protons and neutrons of the labeled atom, a.k.a.
'isotope', e.g. Carbon 14.  The number of protons identifies the element that
this tracer is an isotope of.  The number of neutrons in the element equals the
number of protons, but in an isotope, the number of neutrons will be less than
or greater than the number of protons.  Note, this differs from the 'atomic
number' which indicates the number of protons only.
Required.</t>
        </r>
      </text>
    </comment>
    <comment ref="D1" authorId="0" shapeId="0" xr:uid="{00000000-0006-0000-0100-000004000000}">
      <text>
        <r>
          <rPr>
            <sz val="10"/>
            <color indexed="81"/>
            <rFont val="Courier"/>
            <family val="2"/>
          </rPr>
          <t>The type of atom that is labeled in the tracer compound (e.g. "C", "H", "O").
Select a 'Element' from the dropdowns in this column.  Valid values are:
- C
- N
- H
- O
- S
- P
Required.</t>
        </r>
      </text>
    </comment>
    <comment ref="E1" authorId="0" shapeId="0" xr:uid="{00000000-0006-0000-0100-000005000000}">
      <text>
        <r>
          <rPr>
            <sz val="10"/>
            <color indexed="81"/>
            <rFont val="Courier"/>
            <family val="2"/>
          </rPr>
          <t>The number of labeled atoms (M+) in the tracer compound supplied to this animal.
Note that the count must be greater than or equal to the number of positions.
Required.</t>
        </r>
      </text>
    </comment>
    <comment ref="F1" authorId="0" shapeId="0" xr:uid="{00000000-0006-0000-0100-000006000000}">
      <text>
        <r>
          <rPr>
            <sz val="10"/>
            <color indexed="81"/>
            <rFont val="Courier"/>
            <family val="2"/>
          </rPr>
          <t>The known labeled atom positions in the compound.  Note that the number of known
labeled positions must be less than or equal to the labeled_count.
Comma-delimited string of integers.
Optional.</t>
        </r>
      </text>
    </comment>
    <comment ref="G1" authorId="0" shapeId="0" xr:uid="{00000000-0006-0000-0100-000007000000}">
      <text>
        <r>
          <rPr>
            <sz val="10"/>
            <color indexed="81"/>
            <rFont val="Courier"/>
            <family val="2"/>
          </rPr>
          <t>Readonly.  (Calculated by formula.)
A unique name or lab identifier of the tracer, e.g. 'lysine-C14'.
The values in this column are referenced by the 'Tracer' column in the
'Infusates' sheet.
Must be unique.
Required.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TraceBase Dev Team</author>
  </authors>
  <commentList>
    <comment ref="A1" authorId="0" shapeId="0" xr:uid="{00000000-0006-0000-0200-000001000000}">
      <text>
        <r>
          <rPr>
            <sz val="10"/>
            <color indexed="81"/>
            <rFont val="Courier"/>
            <family val="2"/>
          </rPr>
          <t>Arbitrary number that identifies every row containing a tracer that belongs to a
single infusate.  Each row defines 1 tracer (at a particular Tracer
Concentration) and this value links them together.
The values in this column are not loaded into the database.  It is only used to
populate the Infusate Name column using an excel formula.  All rows having the
same Infusate Row Group are used to build the Infusate Name column values.
Required.</t>
        </r>
      </text>
    </comment>
    <comment ref="B1" authorId="0" shapeId="0" xr:uid="{00000000-0006-0000-0200-000002000000}">
      <text>
        <r>
          <rPr>
            <sz val="10"/>
            <color indexed="81"/>
            <rFont val="Courier"/>
            <family val="2"/>
          </rPr>
          <t>A short name or lab identifier of refering to a group of tracer compounds, e.g
'6eaas'.  There may be multiple infusate records with this group name, each
referring to the same tracers at different concentrations.
Select a 'Tracer Group Name' from the dropdowns in this column.  Valid values
are:
- 6EAAs (MFWKHT)
- BCAAs_13C
- BCAAs (VLI)
- KLI
Optional.</t>
        </r>
      </text>
    </comment>
    <comment ref="C1" authorId="0" shapeId="0" xr:uid="{00000000-0006-0000-0200-000003000000}">
      <text>
        <r>
          <rPr>
            <sz val="10"/>
            <color indexed="81"/>
            <rFont val="Courier"/>
            <family val="2"/>
          </rPr>
          <t>Name of a tracer in this infusate at a specific Tracer Concentration.
Select a 'Tracer' from the dropdowns in this column.  The dropdowns are
populated by the 'Tracer Name' column in the 'Tracers' sheet, so if the
dropdowns are empty, add rows to the 'Tracers' sheet.
Required.</t>
        </r>
      </text>
    </comment>
    <comment ref="D1" authorId="0" shapeId="0" xr:uid="{00000000-0006-0000-0200-000004000000}">
      <text>
        <r>
          <rPr>
            <sz val="10"/>
            <color indexed="81"/>
            <rFont val="Courier"/>
            <family val="2"/>
          </rPr>
          <t>The millimolar concentration of the tracer in a specific infusate 'recipe' (mM).
Required.</t>
        </r>
      </text>
    </comment>
    <comment ref="E1" authorId="0" shapeId="0" xr:uid="{00000000-0006-0000-0200-000005000000}">
      <text>
        <r>
          <rPr>
            <sz val="10"/>
            <color indexed="81"/>
            <rFont val="Courier"/>
            <family val="2"/>
          </rPr>
          <t>Readonly.  (Calculated by formula.)
A unique name or lab identifier of the infusate 'recipe' containing 1 or more
tracer compounds at specific concentrations.
While this column is automatically populated by excel formula, the following
describes the formula output, if you wish to manually enter it.
Individual tracer compounds will be formatted as: compound_name-[weight element
count,weight element count]
example: valine-[13C5,15N1]
Mixtures of compounds will be formatted as: tracer_group_name {tracer[conc];
tracer[conc]}
example:
BCAAs
{isoleucine-[13C6,15N1][23.2];leucine-[13C6,15N1][100];valine-[13C5,15N1][0.9]}
Note that the concentrations in the name are limited to 3 significant figures,
but the saved value is as entered.
The values in this column are referenced by the 'Infusate' column in the
'Animals' sheet.
Must be unique.
Required.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TraceBase Dev Team</author>
  </authors>
  <commentList>
    <comment ref="A1" authorId="0" shapeId="0" xr:uid="{00000000-0006-0000-0300-000001000000}">
      <text>
        <r>
          <rPr>
            <sz val="10"/>
            <color indexed="81"/>
            <rFont val="Courier"/>
            <family val="2"/>
          </rPr>
          <t>A unique name or lab identifier of the source animal for a series of studied
samples.
The values in this column are referenced by the 'Sample' column in the 'Samples'
sheet.
Must be unique.
Required.</t>
        </r>
      </text>
    </comment>
    <comment ref="B1" authorId="0" shapeId="0" xr:uid="{00000000-0006-0000-0300-000002000000}">
      <text>
        <r>
          <rPr>
            <sz val="10"/>
            <color indexed="81"/>
            <rFont val="Courier"/>
            <family val="2"/>
          </rPr>
          <t>The age of the animal at the time of sample collection.
Units: weeks (integer or decimal).
Optional.</t>
        </r>
      </text>
    </comment>
    <comment ref="C1" authorId="0" shapeId="0" xr:uid="{00000000-0006-0000-0300-000003000000}">
      <text>
        <r>
          <rPr>
            <sz val="10"/>
            <color indexed="81"/>
            <rFont val="Courier"/>
            <family val="2"/>
          </rPr>
          <t>The sex of the animal ("male" or "female").
Select a 'Sex' from the dropdowns in this column.  Valid values are:
- F
- M
Optional.</t>
        </r>
      </text>
    </comment>
    <comment ref="D1" authorId="0" shapeId="0" xr:uid="{00000000-0006-0000-0300-000004000000}">
      <text>
        <r>
          <rPr>
            <sz val="10"/>
            <color indexed="81"/>
            <rFont val="Courier"/>
            <family val="2"/>
          </rPr>
          <t>The laboratory standardized genotype of the animal.
Select a 'Genotype' from the dropdowns in this column.  Valid values are:
- alb-/-
- C57BL/6
- C57BL/6J
- ob/ob
- THMYCN (het)
- WT
- WT C57BL/6N with Flank KPC tumor
Required.</t>
        </r>
      </text>
    </comment>
    <comment ref="E1" authorId="0" shapeId="0" xr:uid="{00000000-0006-0000-0300-000005000000}">
      <text>
        <r>
          <rPr>
            <sz val="10"/>
            <color indexed="81"/>
            <rFont val="Courier"/>
            <family val="2"/>
          </rPr>
          <t>The weight (in grams) of the animal at the time of sample collection.
Units: grams.
Optional.</t>
        </r>
      </text>
    </comment>
    <comment ref="F1" authorId="0" shapeId="0" xr:uid="{00000000-0006-0000-0300-000006000000}">
      <text>
        <r>
          <rPr>
            <sz val="10"/>
            <color rgb="FF000000"/>
            <rFont val="Courier"/>
            <family val="2"/>
          </rPr>
          <t xml:space="preserve">The solution infused into the animal containing 1 or more tracer compounds at
</t>
        </r>
        <r>
          <rPr>
            <sz val="10"/>
            <color rgb="FF000000"/>
            <rFont val="Courier"/>
            <family val="2"/>
          </rPr>
          <t xml:space="preserve">specific concentrations.
</t>
        </r>
        <r>
          <rPr>
            <sz val="10"/>
            <color rgb="FF000000"/>
            <rFont val="Courier"/>
            <family val="2"/>
          </rPr>
          <t xml:space="preserve">
</t>
        </r>
        <r>
          <rPr>
            <sz val="10"/>
            <color rgb="FF000000"/>
            <rFont val="Courier"/>
            <family val="2"/>
          </rPr>
          <t xml:space="preserve">Select a 'Infusate' from the dropdowns in this column.  The dropdowns are
</t>
        </r>
        <r>
          <rPr>
            <sz val="10"/>
            <color rgb="FF000000"/>
            <rFont val="Courier"/>
            <family val="2"/>
          </rPr>
          <t xml:space="preserve">populated by the 'Infusate Name' column in the 'Infusates' sheet, so if the
</t>
        </r>
        <r>
          <rPr>
            <sz val="10"/>
            <color rgb="FF000000"/>
            <rFont val="Courier"/>
            <family val="2"/>
          </rPr>
          <t xml:space="preserve">dropdowns are empty, add rows to the 'Infusates' sheet.
</t>
        </r>
        <r>
          <rPr>
            <sz val="10"/>
            <color rgb="FF000000"/>
            <rFont val="Courier"/>
            <family val="2"/>
          </rPr>
          <t xml:space="preserve">
</t>
        </r>
        <r>
          <rPr>
            <sz val="10"/>
            <color rgb="FF000000"/>
            <rFont val="Courier"/>
            <family val="2"/>
          </rPr>
          <t>Optional.</t>
        </r>
      </text>
    </comment>
    <comment ref="G1" authorId="0" shapeId="0" xr:uid="{00000000-0006-0000-0300-000007000000}">
      <text>
        <r>
          <rPr>
            <sz val="10"/>
            <color indexed="81"/>
            <rFont val="Courier"/>
            <family val="2"/>
          </rPr>
          <t>The rate of infusion of the tracer solution in microliters/min/gram of body
weight of the animal (ul/min/g).
Units: ul/min/g (microliters/min/gram)
Optional.</t>
        </r>
      </text>
    </comment>
    <comment ref="H1" authorId="0" shapeId="0" xr:uid="{00000000-0006-0000-0300-000008000000}">
      <text>
        <r>
          <rPr>
            <sz val="10"/>
            <color indexed="81"/>
            <rFont val="Courier"/>
            <family val="2"/>
          </rPr>
          <t>The feeding descriptor for the animal [e.g. "LabDiet Rodent 5001"].
Select a 'Diet' from the dropdowns in this column.  Valid values are:
- Keto diet bioserv S3666
- LabDiet 5001
- LabDiet 5010
- LabDiet #5053
- LabDiet Rodent 5001
- PicoLab Rodent 20 5053
- PicoLab Rodent 20 5054
- PicoLab Rodent 20 5055
- PicoLab Rodent 20 5056
- TestDiet 5B62_Ser/Gly-Free
- TestDiet 5WTV_Purified Amino Acid Control Diet
- Unknown ID_ResearchDiets 10% protein defined
Optional.</t>
        </r>
      </text>
    </comment>
    <comment ref="I1" authorId="0" shapeId="0" xr:uid="{00000000-0006-0000-0300-000009000000}">
      <text>
        <r>
          <rPr>
            <sz val="10"/>
            <color indexed="81"/>
            <rFont val="Courier"/>
            <family val="2"/>
          </rPr>
          <t>The laboratory coded dietary state for the animal, also referred to as "Animal
State" (e.g. "fasted").
Note that the drop-downs are populated by existing values in the database, to
encourage consistency.  You may add new values.
Select a 'Feeding Status' from the dropdowns in this column.  Valid values are:
- fasted
- fed
- refed
Optional.</t>
        </r>
      </text>
    </comment>
    <comment ref="J1" authorId="0" shapeId="0" xr:uid="{00000000-0006-0000-0300-00000A000000}">
      <text>
        <r>
          <rPr>
            <sz val="10"/>
            <color indexed="81"/>
            <rFont val="Courier"/>
            <family val="2"/>
          </rPr>
          <t>The laboratory controlled label of the actions taken on an animal.
Select a 'Treatment' from the dropdowns in this column.  The dropdowns are
populated by the 'Animal Treatment' column in the 'Treatments' sheet, so if the
dropdowns are empty, add rows to the 'Treatments' sheet.
Optional.</t>
        </r>
      </text>
    </comment>
    <comment ref="K1" authorId="0" shapeId="0" xr:uid="{00000000-0006-0000-0300-00000B000000}">
      <text>
        <r>
          <rPr>
            <sz val="10"/>
            <color indexed="81"/>
            <rFont val="Courier"/>
            <family val="2"/>
          </rPr>
          <t>The experimental study(ies) the the animal is associated with.
Note that an animal can belong to multiple studies.  As such, this is a
delimited field.  Multiple Study records can be entered using the delimiter:
';', but the dropdowns only work for individual studies, thus multiple studies
must be manually entered.
Select a 'Study' from the dropdowns in this column.  The dropdowns are populated
by the 'Name' column in the 'Study' sheet, so if the dropdowns are empty, add
rows to the 'Study' sheet.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TraceBase Dev Team</author>
  </authors>
  <commentList>
    <comment ref="A1" authorId="0" shapeId="0" xr:uid="{00000000-0006-0000-0400-000001000000}">
      <text>
        <r>
          <rPr>
            <sz val="10"/>
            <color indexed="81"/>
            <rFont val="Courier"/>
            <family val="2"/>
          </rPr>
          <t>The unique name of the biological sample.
The values in this column are referenced by the 'Sample Name' column in the
'Peak Annotation Details' sheet.
Must be unique.
Required.</t>
        </r>
      </text>
    </comment>
    <comment ref="B1" authorId="0" shapeId="0" xr:uid="{00000000-0006-0000-0400-000002000000}">
      <text>
        <r>
          <rPr>
            <sz val="10"/>
            <color indexed="81"/>
            <rFont val="Courier"/>
            <family val="2"/>
          </rPr>
          <t>The date the sample was collected.
Format: YYYY-MM-DD.
Required.</t>
        </r>
      </text>
    </comment>
    <comment ref="C1" authorId="0" shapeId="0" xr:uid="{00000000-0006-0000-0400-000003000000}">
      <text>
        <r>
          <rPr>
            <sz val="10"/>
            <color indexed="81"/>
            <rFont val="Courier"/>
            <family val="2"/>
          </rPr>
          <t>The name of the researcher who prepared the sample (e.g. "Alex Medina").
Select a 'Researcher Name' from the dropdowns in this column.  Valid values are:
- Asael Roichman
- Caroline Bartman
- Connor Jankowski
- Jenna AbuSalim
- Lingfan Liang
- Marc Bornstein
- Matthew McBride
- Michael Neinast
- Sheng Hui
- Tara TeSlaa
- Won Dong Lee
- Xianfeng Zeng
- Zhaoyue Zhang
- Zihong Chen
Required.</t>
        </r>
      </text>
    </comment>
    <comment ref="D1" authorId="0" shapeId="0" xr:uid="{00000000-0006-0000-0400-000004000000}">
      <text>
        <r>
          <rPr>
            <sz val="10"/>
            <color indexed="81"/>
            <rFont val="Courier"/>
            <family val="2"/>
          </rPr>
          <t>The tissue type this sample was taken from.
Select a 'Tissue' from the dropdowns in this column.  The dropdowns are
populated by the 'Tissue' column in the 'Tissues' sheet, so if the dropdowns are
empty, add rows to the 'Tissues' sheet.
Required.</t>
        </r>
      </text>
    </comment>
    <comment ref="E1" authorId="0" shapeId="0" xr:uid="{00000000-0006-0000-0400-000005000000}">
      <text>
        <r>
          <rPr>
            <sz val="10"/>
            <color indexed="81"/>
            <rFont val="Courier"/>
            <family val="2"/>
          </rPr>
          <t>The time, relative to an infusion timepoint, that a sample was extracted from an
animal.
Units: minutes.
Optional.</t>
        </r>
      </text>
    </comment>
    <comment ref="F1" authorId="0" shapeId="0" xr:uid="{00000000-0006-0000-0400-000006000000}">
      <text>
        <r>
          <rPr>
            <sz val="10"/>
            <color indexed="81"/>
            <rFont val="Courier"/>
            <family val="2"/>
          </rPr>
          <t>The source animal from which the sample was extracted.
Select a 'Animal' from the dropdowns in this column.  The dropdowns are
populated by the 'Animal Name' column in the 'Animals' sheet, so if the
dropdowns are empty, add rows to the 'Animals' sheet.
Required.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TraceBase Dev Team</author>
  </authors>
  <commentList>
    <comment ref="A1" authorId="0" shapeId="0" xr:uid="{00000000-0006-0000-0500-000001000000}">
      <text>
        <r>
          <rPr>
            <sz val="10"/>
            <color indexed="81"/>
            <rFont val="Courier"/>
            <family val="2"/>
          </rPr>
          <t>Readonly.  (Calculated by formula.)
A unique MS Run (Sequence) identifier.
Note that an MS Run Sequence is unique to a researcher, protocol, instrument
(model), and date.  If a researcher performs multiple such Mass Spec Runs on the
same day, this MS Run Sequence record will represent multiple runs.
Comma-delimited string combining the values from these columns in this order:
- Operator
- LC Protocol Name
- Instrument
- Date
The values in this column are referenced by the 'Default Sequence' column in the
'Peak Annotation Files' sheet.
Required.</t>
        </r>
      </text>
    </comment>
    <comment ref="B1" authorId="0" shapeId="0" xr:uid="{00000000-0006-0000-0500-000002000000}">
      <text>
        <r>
          <rPr>
            <sz val="10"/>
            <color indexed="81"/>
            <rFont val="Courier"/>
            <family val="2"/>
          </rPr>
          <t>Researcher who operated the Mass Spec instrument.
Select a 'Operator' from the dropdowns in this column.  Valid values are:
- Asael Roichman
- Caroline Bartman
- Connor Jankowski
- Lingfan Liang
- Marc Bornstein
- Matthew McBride
- Michael Neinast
- Ricardo Cordova
- Sheng Hui
- Wenyun Lu
- Won Dong Lee
- Xianfeng Zeng
- Zihong Chen
Required.</t>
        </r>
      </text>
    </comment>
    <comment ref="C1" authorId="0" shapeId="0" xr:uid="{00000000-0006-0000-0500-000003000000}">
      <text>
        <r>
          <rPr>
            <sz val="10"/>
            <color indexed="81"/>
            <rFont val="Courier"/>
            <family val="2"/>
          </rPr>
          <t>Unique laboratory-defined name of the liquid chromatography method.(e.g. polar-
HILIC-25-min)
Select a 'LC Protocol Name' from the dropdowns in this column.  The dropdowns
are populated by the 'Name' column in the 'LC Protocols' sheet, so if the
dropdowns are empty, add rows to the 'LC Protocols' sheet.
Must be unique.
Required.</t>
        </r>
      </text>
    </comment>
    <comment ref="D1" authorId="0" shapeId="0" xr:uid="{00000000-0006-0000-0500-000004000000}">
      <text>
        <r>
          <rPr>
            <sz val="10"/>
            <color indexed="81"/>
            <rFont val="Courier"/>
            <family val="2"/>
          </rPr>
          <t>The name of the mass spectrometer.
Select a 'MSRunSequence Instrument' from the dropdowns in this column.  Valid
values are:
- QE
- QE2
- QEPlus
- QEHF
- Exploris240
- Exploris480
- ExplorisMX
- unknown
Required.</t>
        </r>
      </text>
    </comment>
    <comment ref="E1" authorId="0" shapeId="0" xr:uid="{00000000-0006-0000-0500-000005000000}">
      <text>
        <r>
          <rPr>
            <sz val="10"/>
            <color indexed="81"/>
            <rFont val="Courier"/>
            <family val="2"/>
          </rPr>
          <t>The date that the mass spectrometer was run.
Format: YYYY-MM-DD.
Required.</t>
        </r>
      </text>
    </comment>
    <comment ref="F1" authorId="0" shapeId="0" xr:uid="{00000000-0006-0000-0500-000006000000}">
      <text>
        <r>
          <rPr>
            <sz val="10"/>
            <color indexed="81"/>
            <rFont val="Courier"/>
            <family val="2"/>
          </rPr>
          <t>Notes on this mass spectrometer run sequence.
Must be unique.
Optional.</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TraceBase Dev Team</author>
  </authors>
  <commentList>
    <comment ref="A1" authorId="0" shapeId="0" xr:uid="{00000000-0006-0000-0600-000001000000}">
      <text>
        <r>
          <rPr>
            <sz val="10"/>
            <color indexed="81"/>
            <rFont val="Courier"/>
            <family val="2"/>
          </rPr>
          <t>Peak annotation file, e.g. AccuCor, IsoCorr, etc.
Include a path if the file will not be in the top level of the submission
directory.
The values in this column are referenced by the 'Peak Annotation File Name'
column in the 'Peak Annotation Details' sheet.
Required.</t>
        </r>
      </text>
    </comment>
    <comment ref="B1" authorId="0" shapeId="0" xr:uid="{00000000-0006-0000-0600-000002000000}">
      <text>
        <r>
          <rPr>
            <sz val="10"/>
            <color indexed="81"/>
            <rFont val="Courier"/>
            <family val="2"/>
          </rPr>
          <t>Peak annotation file format.  Default: automatically detected.
Select a 'File Format' from the dropdowns in this column.  Valid values are:
- isocorr
- accucor
- isoautocorr
- unicorr
Required.</t>
        </r>
      </text>
    </comment>
    <comment ref="C1" authorId="0" shapeId="0" xr:uid="{00000000-0006-0000-0600-000003000000}">
      <text>
        <r>
          <rPr>
            <sz val="10"/>
            <color indexed="81"/>
            <rFont val="Courier"/>
            <family val="2"/>
          </rPr>
          <t>The default Sequence to use when loading Peak Annotation File.  Overridden by
values supplied in the 'Peak Annotation File Name' column in the 'Peak
Annotation Details' sheet.
Refer to the Sequence Name column in the Sequences sheet for format details.
Select a 'Default Sequence' from the dropdowns in this column.  The dropdowns
are populated by the 'Sequence Name' column in the 'Sequences' sheet, so if the
dropdowns are empty, add rows to the 'Sequences' sheet.
Required.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TraceBase Dev Team</author>
  </authors>
  <commentList>
    <comment ref="A1" authorId="0" shapeId="0" xr:uid="{00000000-0006-0000-0700-000001000000}">
      <text>
        <r>
          <rPr>
            <sz val="10"/>
            <color indexed="81"/>
            <rFont val="Courier"/>
            <family val="2"/>
          </rPr>
          <t>A sample that was injected at least once during a mass spectrometer sequence.
Select a 'Sample Name' from the dropdowns in this column.  The dropdowns are
populated by the 'Sample' column in the 'Samples' sheet, so if the dropdowns are
empty, add rows to the 'Samples' sheet.
Required.</t>
        </r>
      </text>
    </comment>
    <comment ref="B1" authorId="0" shapeId="0" xr:uid="{00000000-0006-0000-0700-000002000000}">
      <text>
        <r>
          <rPr>
            <sz val="10"/>
            <color indexed="81"/>
            <rFont val="Courier"/>
            <family val="2"/>
          </rPr>
          <t>Sample header from Peak Annotation File Name.
Note, this column is only conditionally required with 'mzXML File Name'.
Required.</t>
        </r>
      </text>
    </comment>
    <comment ref="C1" authorId="0" shapeId="0" xr:uid="{00000000-0006-0000-0700-000003000000}">
      <text>
        <r>
          <rPr>
            <sz val="10"/>
            <color rgb="FF000000"/>
            <rFont val="Courier"/>
            <family val="2"/>
          </rPr>
          <t xml:space="preserve">A file representing a subset of data extracted from the raw file (e.g. an mzXML
</t>
        </r>
        <r>
          <rPr>
            <sz val="10"/>
            <color rgb="FF000000"/>
            <rFont val="Courier"/>
            <family val="2"/>
          </rPr>
          <t xml:space="preserve">file).
</t>
        </r>
        <r>
          <rPr>
            <sz val="10"/>
            <color rgb="FF000000"/>
            <rFont val="Courier"/>
            <family val="2"/>
          </rPr>
          <t xml:space="preserve">
</t>
        </r>
        <r>
          <rPr>
            <sz val="10"/>
            <color rgb="FF000000"/>
            <rFont val="Courier"/>
            <family val="2"/>
          </rPr>
          <t xml:space="preserve">Note, you can load any/all mzXML File Names for a Sample Name *before* the Peak
</t>
        </r>
        <r>
          <rPr>
            <sz val="10"/>
            <color rgb="FF000000"/>
            <rFont val="Courier"/>
            <family val="2"/>
          </rPr>
          <t xml:space="preserve">Annotation File Name is ready to load, in which case you can just leave this
</t>
        </r>
        <r>
          <rPr>
            <sz val="10"/>
            <color rgb="FF000000"/>
            <rFont val="Courier"/>
            <family val="2"/>
          </rPr>
          <t xml:space="preserve">value empty.
</t>
        </r>
        <r>
          <rPr>
            <sz val="10"/>
            <color rgb="FF000000"/>
            <rFont val="Courier"/>
            <family val="2"/>
          </rPr>
          <t xml:space="preserve">
</t>
        </r>
        <r>
          <rPr>
            <sz val="10"/>
            <color rgb="FF000000"/>
            <rFont val="Courier"/>
            <family val="2"/>
          </rPr>
          <t xml:space="preserve">Note, this column is only conditionally required with 'Sample Data Header'.
</t>
        </r>
        <r>
          <rPr>
            <sz val="10"/>
            <color rgb="FF000000"/>
            <rFont val="Courier"/>
            <family val="2"/>
          </rPr>
          <t xml:space="preserve">I.e. an mzXML File Name can be loaded without a 'Peak Annotation File Name'.
</t>
        </r>
        <r>
          <rPr>
            <sz val="10"/>
            <color rgb="FF000000"/>
            <rFont val="Courier"/>
            <family val="2"/>
          </rPr>
          <t xml:space="preserve">
</t>
        </r>
        <r>
          <rPr>
            <sz val="10"/>
            <color rgb="FF000000"/>
            <rFont val="Courier"/>
            <family val="2"/>
          </rPr>
          <t>Optional.</t>
        </r>
      </text>
    </comment>
    <comment ref="D1" authorId="0" shapeId="0" xr:uid="{00000000-0006-0000-0700-000004000000}">
      <text>
        <r>
          <rPr>
            <sz val="10"/>
            <color indexed="81"/>
            <rFont val="Courier"/>
            <family val="2"/>
          </rPr>
          <t>Name of the peak annotation file.  If the sample on any given row was included
in a Peak Annotation File Name, add the name of that file here.
Select a 'Peak Annotation File Name' from the dropdowns in this column.  The
dropdowns are populated by the 'Peak Annotation File' column in the 'Peak
Annotation Files' sheet, so if the dropdowns are empty, add rows to the 'Peak
Annotation Files' sheet.
Optional.</t>
        </r>
      </text>
    </comment>
    <comment ref="E1" authorId="0" shapeId="0" xr:uid="{00000000-0006-0000-0700-000005000000}">
      <text>
        <r>
          <rPr>
            <sz val="10"/>
            <color indexed="81"/>
            <rFont val="Courier"/>
            <family val="2"/>
          </rPr>
          <t>The Sequence associated with the Sample Name, Sample Data Header, and/or mzXML
File Name on this row.
Refer to the Sequence Name column in the Sequences sheet for format details.
Select a 'Sequence' from the dropdowns in this column.  The dropdowns are
populated by the 'Sequence Name' column in the 'Sequences' sheet, so if the
dropdowns are empty, add rows to the 'Sequences' sheet.
Optional.</t>
        </r>
      </text>
    </comment>
    <comment ref="F1" authorId="0" shapeId="0" xr:uid="{00000000-0006-0000-0700-000006000000}">
      <text>
        <r>
          <rPr>
            <sz val="10"/>
            <color indexed="81"/>
            <rFont val="Courier"/>
            <family val="2"/>
          </rPr>
          <t>Whether to load data associated with this sample, e.g. a blank sample.
Enter 'skip' to skip loading of the sample and peak annotation data.  The mzXML
file will be saved if supplied, but it will not be associated with an
MSRunSample or MSRunSequence, since the Sample record will not be created.  Note
that the Sample Name, Sample Data Header, and Sequence columns must still have a
unique combo value (for file validation, even though they won't be used).
Boolean: 'skip' or ''.
Select a 'Skip' from the dropdowns in this column.  Valid values are:
-
- skip
Optional.</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TraceBase Dev Team</author>
  </authors>
  <commentList>
    <comment ref="A1" authorId="0" shapeId="0" xr:uid="{00000000-0006-0000-0800-000001000000}">
      <text>
        <r>
          <rPr>
            <sz val="10"/>
            <color indexed="81"/>
            <rFont val="Courier"/>
            <family val="2"/>
          </rPr>
          <t>Peak group name, composed of 1 or more compound synonyms, delimited by '/', e.g.
'citrate/isocitrate'.  (Note, synonym(s) may confer information about the
compound that is not recorded in the compound record, such as a specific
stereoisomer.)
A peak group that exists in multiple peak annotation files containing common
samples.  Only 1 peak group may represent each compound per sample.  Note that
different synonymns of the same compound are treated as qualitatively different
compounds (to support for example, stereo-isomers).
Note that the order and case of the compound synonyms could differ in each file.
Required.</t>
        </r>
      </text>
    </comment>
    <comment ref="B1" authorId="0" shapeId="0" xr:uid="{00000000-0006-0000-0800-000002000000}">
      <text>
        <r>
          <rPr>
            <sz val="10"/>
            <color indexed="81"/>
            <rFont val="Courier"/>
            <family val="2"/>
          </rPr>
          <t>TraceBase will accept only one peak group measurement for each compound in a
given sample.  Sometimes a compound can show up in multiple scans (e.g. in
positive and negative mode scans).  You must select the file containing the best
representation of each compound.  Using the provided drop-downs, select the peak
annotation file from which this peak group should be loaded for the listed
samples.  That compound in the remaining files will be skipped for those
samples.  Note, each drop-down contains only the peak annotation files
containing the peak group compound for that row.
The values in this column are referenced by the 'Peak Annotation File' column in
the 'Peak Annotation Files' sheet.
Required.</t>
        </r>
      </text>
    </comment>
    <comment ref="C1" authorId="0" shapeId="0" xr:uid="{00000000-0006-0000-0800-000003000000}">
      <text>
        <r>
          <rPr>
            <sz val="10"/>
            <color indexed="81"/>
            <rFont val="Courier"/>
            <family val="2"/>
          </rPr>
          <t>The number of Common Samples among the files listed for the given peak group
compound.
Required.</t>
        </r>
      </text>
    </comment>
    <comment ref="D1" authorId="0" shapeId="0" xr:uid="{00000000-0006-0000-0800-000004000000}">
      <text>
        <r>
          <rPr>
            <sz val="10"/>
            <color indexed="81"/>
            <rFont val="Courier"/>
            <family val="2"/>
          </rPr>
          <t>This column contains a sampling of the Common Samples between the files in the
Selected Peak Annotation File drop-down.
A string of sample names delimited by ';'.
Required.</t>
        </r>
      </text>
    </comment>
    <comment ref="E1" authorId="0" shapeId="0" xr:uid="{00000000-0006-0000-0800-000005000000}">
      <text>
        <r>
          <rPr>
            <sz val="10"/>
            <color rgb="FF000000"/>
            <rFont val="Courier"/>
            <family val="2"/>
          </rPr>
          <t xml:space="preserve">This column contains a sorted list of sample names that multiple peak annotation
</t>
        </r>
        <r>
          <rPr>
            <sz val="10"/>
            <color rgb="FF000000"/>
            <rFont val="Courier"/>
            <family val="2"/>
          </rPr>
          <t xml:space="preserve">files have in common, and each measure the same peak group compound.
</t>
        </r>
        <r>
          <rPr>
            <sz val="10"/>
            <color rgb="FF000000"/>
            <rFont val="Courier"/>
            <family val="2"/>
          </rPr>
          <t xml:space="preserve">
</t>
        </r>
        <r>
          <rPr>
            <sz val="10"/>
            <color rgb="FF000000"/>
            <rFont val="Courier"/>
            <family val="2"/>
          </rPr>
          <t xml:space="preserve">A string of sample names delimited by ';'.
</t>
        </r>
        <r>
          <rPr>
            <sz val="10"/>
            <color rgb="FF000000"/>
            <rFont val="Courier"/>
            <family val="2"/>
          </rPr>
          <t xml:space="preserve">
</t>
        </r>
        <r>
          <rPr>
            <sz val="10"/>
            <color rgb="FF000000"/>
            <rFont val="Courier"/>
            <family val="2"/>
          </rPr>
          <t>Required.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TraceBase Dev Team</author>
  </authors>
  <commentList>
    <comment ref="A1" authorId="0" shapeId="0" xr:uid="{00000000-0006-0000-0900-000001000000}">
      <text>
        <r>
          <rPr>
            <sz val="10"/>
            <color rgb="FF000000"/>
            <rFont val="Courier"/>
            <family val="2"/>
          </rPr>
          <t xml:space="preserve">Unique name of the protocol.
</t>
        </r>
        <r>
          <rPr>
            <sz val="10"/>
            <color rgb="FF000000"/>
            <rFont val="Courier"/>
            <family val="2"/>
          </rPr>
          <t xml:space="preserve">
</t>
        </r>
        <r>
          <rPr>
            <sz val="10"/>
            <color rgb="FF000000"/>
            <rFont val="Courier"/>
            <family val="2"/>
          </rPr>
          <t xml:space="preserve">The values in this column are referenced by the 'Treatment' column in the
</t>
        </r>
        <r>
          <rPr>
            <sz val="10"/>
            <color rgb="FF000000"/>
            <rFont val="Courier"/>
            <family val="2"/>
          </rPr>
          <t xml:space="preserve">'Animals' sheet.
</t>
        </r>
        <r>
          <rPr>
            <sz val="10"/>
            <color rgb="FF000000"/>
            <rFont val="Courier"/>
            <family val="2"/>
          </rPr>
          <t xml:space="preserve">
</t>
        </r>
        <r>
          <rPr>
            <sz val="10"/>
            <color rgb="FF000000"/>
            <rFont val="Courier"/>
            <family val="2"/>
          </rPr>
          <t xml:space="preserve">Must be unique.
</t>
        </r>
        <r>
          <rPr>
            <sz val="10"/>
            <color rgb="FF000000"/>
            <rFont val="Courier"/>
            <family val="2"/>
          </rPr>
          <t xml:space="preserve">
</t>
        </r>
        <r>
          <rPr>
            <sz val="10"/>
            <color rgb="FF000000"/>
            <rFont val="Courier"/>
            <family val="2"/>
          </rPr>
          <t>Required.</t>
        </r>
      </text>
    </comment>
    <comment ref="B1" authorId="0" shapeId="0" xr:uid="{00000000-0006-0000-0900-000002000000}">
      <text>
        <r>
          <rPr>
            <sz val="10"/>
            <color indexed="81"/>
            <rFont val="Courier"/>
            <family val="2"/>
          </rPr>
          <t>Full text of the protocol's methods.
Optional.</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TraceBase Dev Team</author>
  </authors>
  <commentList>
    <comment ref="A1" authorId="0" shapeId="0" xr:uid="{00000000-0006-0000-0A00-000001000000}">
      <text>
        <r>
          <rPr>
            <sz val="10"/>
            <color indexed="81"/>
            <rFont val="Courier"/>
            <family val="2"/>
          </rPr>
          <t>The laboratory standardized name for this tissue type (e.g. "serum", "brain",
"liver").
Must be unique.
Required.</t>
        </r>
      </text>
    </comment>
    <comment ref="B1" authorId="0" shapeId="0" xr:uid="{00000000-0006-0000-0A00-000002000000}">
      <text>
        <r>
          <rPr>
            <sz val="10"/>
            <color indexed="81"/>
            <rFont val="Courier"/>
            <family val="2"/>
          </rPr>
          <t>Description of this tissue type.
The values in this column are referenced by the 'Tissue' column in the 'Samples'
sheet.
Required.</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TraceBase Dev Team</author>
  </authors>
  <commentList>
    <comment ref="A1" authorId="0" shapeId="0" xr:uid="{00000000-0006-0000-0B00-000001000000}">
      <text>
        <r>
          <rPr>
            <sz val="10"/>
            <color indexed="81"/>
            <rFont val="Courier"/>
            <family val="2"/>
          </rPr>
          <t>The compound name that is commonly used in the laboratory (e.g. "glucose",
"C16:0", etc.).
The values in this column are referenced by the 'Compound' column in the
'Tracers' sheet.
Must be unique.
Required.</t>
        </r>
      </text>
    </comment>
    <comment ref="B1" authorId="0" shapeId="0" xr:uid="{00000000-0006-0000-0B00-000002000000}">
      <text>
        <r>
          <rPr>
            <sz val="10"/>
            <color indexed="81"/>
            <rFont val="Courier"/>
            <family val="2"/>
          </rPr>
          <t>A unique identifier for this compound in the Human Metabolome Database
(https://hmdb.ca/metabolites).
Must be unique.
Required.</t>
        </r>
      </text>
    </comment>
    <comment ref="C1" authorId="0" shapeId="0" xr:uid="{00000000-0006-0000-0B00-000003000000}">
      <text>
        <r>
          <rPr>
            <sz val="10"/>
            <color indexed="81"/>
            <rFont val="Courier"/>
            <family val="2"/>
          </rPr>
          <t>The molecular formula of the compound (e.g. "C6H12O6", "C16H32O2", etc.).
Required.</t>
        </r>
      </text>
    </comment>
    <comment ref="D1" authorId="0" shapeId="0" xr:uid="{00000000-0006-0000-0B00-000004000000}">
      <text>
        <r>
          <rPr>
            <sz val="10"/>
            <color indexed="81"/>
            <rFont val="Courier"/>
            <family val="2"/>
          </rPr>
          <t>A synonymous name for a compound that is commonly used within the laboratory.
(e.g. "palmitic acid", "hexadecanoic acid", "C16", and "palmitate" might also be
synonyms for "C16:0").
Semicolon-delimited list of synonym names.
Must be unique.
Required.</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TraceBase Dev Team</author>
  </authors>
  <commentList>
    <comment ref="A1" authorId="0" shapeId="0" xr:uid="{00000000-0006-0000-0C00-000001000000}">
      <text>
        <r>
          <rPr>
            <sz val="10"/>
            <color indexed="81"/>
            <rFont val="Courier"/>
            <family val="2"/>
          </rPr>
          <t>Readonly.  (Calculated by formula.)
Unique laboratory-defined name of the liquid chromatography method.(e.g. polar-
HILIC-25-min)
While this column is automatically populated by excel formula, the following
describes the formula output, if you wish to manually enter it.
E.g. 'LC Protocol'-'Run Length'-min
The values in this column are referenced by the 'Sequence Name' column in the
'Sequences' sheet.
Must be unique.
Required.</t>
        </r>
      </text>
    </comment>
    <comment ref="B1" authorId="0" shapeId="0" xr:uid="{00000000-0006-0000-0C00-000002000000}">
      <text>
        <r>
          <rPr>
            <sz val="10"/>
            <color indexed="81"/>
            <rFont val="Courier"/>
            <family val="2"/>
          </rPr>
          <t>Laboratory-defined type of the liquid chromatography method.(e.g. polar-HILIC)
Select a 'LC Protocol' from the dropdowns in this column.  Valid values are:
- lipid-reversed-phase
- polar-HILIC
- polar-reversed-phase
- polar-reversed-phase-ion-pairing
- unknown
Required.</t>
        </r>
      </text>
    </comment>
    <comment ref="C1" authorId="0" shapeId="0" xr:uid="{00000000-0006-0000-0C00-000003000000}">
      <text>
        <r>
          <rPr>
            <sz val="10"/>
            <color indexed="81"/>
            <rFont val="Courier"/>
            <family val="2"/>
          </rPr>
          <t>Time duration to complete a sample run through the liquid chromatography method.
Units: minutes.
Select a 'Run Length' from the dropdowns in this column.  Valid values are:
- 25.0
Optional.</t>
        </r>
      </text>
    </comment>
    <comment ref="D1" authorId="0" shapeId="0" xr:uid="{00000000-0006-0000-0C00-000004000000}">
      <text>
        <r>
          <rPr>
            <sz val="10"/>
            <color indexed="81"/>
            <rFont val="Courier"/>
            <family val="2"/>
          </rPr>
          <t>Unique full-text description of the liquid chromatography method.
Must be unique.
Required.</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<sst xmlns="http://schemas.openxmlformats.org/spreadsheetml/2006/main" count="266" uniqueCount="221">
  <si>
    <t>Name</t>
  </si>
  <si>
    <t>Description</t>
  </si>
  <si>
    <t>Tracer Row Group</t>
  </si>
  <si>
    <t>Compound</t>
  </si>
  <si>
    <t>Mass Number</t>
  </si>
  <si>
    <t>Element</t>
  </si>
  <si>
    <t>Label Count</t>
  </si>
  <si>
    <t>Label Positions</t>
  </si>
  <si>
    <t>Tracer Name</t>
  </si>
  <si>
    <t>glucose</t>
  </si>
  <si>
    <t>lactate</t>
  </si>
  <si>
    <t>lysine</t>
  </si>
  <si>
    <t>C</t>
  </si>
  <si>
    <t>lysine-[13C6]</t>
  </si>
  <si>
    <t>Infusate Row Group</t>
  </si>
  <si>
    <t>Tracer Group Name</t>
  </si>
  <si>
    <t>Tracer</t>
  </si>
  <si>
    <t>Tracer Concentration</t>
  </si>
  <si>
    <t>Infusate Name</t>
  </si>
  <si>
    <t>lysine-[13C6][23.2]</t>
  </si>
  <si>
    <t>Animal Name</t>
  </si>
  <si>
    <t>Age</t>
  </si>
  <si>
    <t>Sex</t>
  </si>
  <si>
    <t>Genotype</t>
  </si>
  <si>
    <t>Weight</t>
  </si>
  <si>
    <t>Infusate</t>
  </si>
  <si>
    <t>Infusion Rate</t>
  </si>
  <si>
    <t>Diet</t>
  </si>
  <si>
    <t>Feeding Status</t>
  </si>
  <si>
    <t>Treatment</t>
  </si>
  <si>
    <t>Study</t>
  </si>
  <si>
    <t>Sample</t>
  </si>
  <si>
    <t>Date Collected</t>
  </si>
  <si>
    <t>Researcher Name</t>
  </si>
  <si>
    <t>Tissue</t>
  </si>
  <si>
    <t>Collection Time</t>
  </si>
  <si>
    <t>Animal</t>
  </si>
  <si>
    <t>serum-xz971</t>
  </si>
  <si>
    <t>Sequence Name</t>
  </si>
  <si>
    <t>Operator</t>
  </si>
  <si>
    <t>LC Protocol Name</t>
  </si>
  <si>
    <t>Instrument</t>
  </si>
  <si>
    <t>Date</t>
  </si>
  <si>
    <t>Notes</t>
  </si>
  <si>
    <t>Michael Neinast</t>
  </si>
  <si>
    <t>polar-HILIC-25-min</t>
  </si>
  <si>
    <t>unknown</t>
  </si>
  <si>
    <t>2021-06-03</t>
  </si>
  <si>
    <t>Peak Annotation File</t>
  </si>
  <si>
    <t>File Format</t>
  </si>
  <si>
    <t>Default Sequence</t>
  </si>
  <si>
    <t>small_obob_maven_6eaas_serum.xlsx</t>
  </si>
  <si>
    <t>accucor</t>
  </si>
  <si>
    <t>Michael Neinast, polar-HILIC-25-min, unknown, 2021-06-03</t>
  </si>
  <si>
    <t>Sample Name</t>
  </si>
  <si>
    <t>Sample Data Header</t>
  </si>
  <si>
    <t>mzXML File Name</t>
  </si>
  <si>
    <t>Peak Annotation File Name</t>
  </si>
  <si>
    <t>Sequence</t>
  </si>
  <si>
    <t>Skip</t>
  </si>
  <si>
    <t>Peak Group Conflict</t>
  </si>
  <si>
    <t>Selected Peak Annotation File</t>
  </si>
  <si>
    <t>Common Sample Count</t>
  </si>
  <si>
    <t>Example Samples</t>
  </si>
  <si>
    <t>Common Samples</t>
  </si>
  <si>
    <t>Animal Treatment</t>
  </si>
  <si>
    <t>Treatment Description</t>
  </si>
  <si>
    <t>BYL-719</t>
  </si>
  <si>
    <t>BYL719 via acute injection</t>
  </si>
  <si>
    <t>cold 4C acute</t>
  </si>
  <si>
    <t>cold 6C chronic</t>
  </si>
  <si>
    <t>control carboxymethylcellulose</t>
  </si>
  <si>
    <t>control sucrose water plus saline infusion</t>
  </si>
  <si>
    <t>control vehicle for T3 via drinking water</t>
  </si>
  <si>
    <t>control vehicle with Cremaphor EL via acute injection</t>
  </si>
  <si>
    <t>control vehicle with saline via acute injection</t>
  </si>
  <si>
    <t>EIPA via acute injection</t>
  </si>
  <si>
    <t>HCQ via acute injection</t>
  </si>
  <si>
    <t>MG132 via acute injection</t>
  </si>
  <si>
    <t>no treatment</t>
  </si>
  <si>
    <t>perturbative KR infusion</t>
  </si>
  <si>
    <t>sucrose water plus high glycine infusion</t>
  </si>
  <si>
    <t>T3 via drinking water</t>
  </si>
  <si>
    <t>thermoneutrality chronic</t>
  </si>
  <si>
    <t>Mice with a left flank KPC tumor (~300-600mm^3) were fasted for 6h, and then oral gavaged with 45mg/kg BYL-719 (PI3K inhibitor) followed by immediately starting infusion of U-13C-Valine for 2h.</t>
  </si>
  <si>
    <t>Mice were injected i.p. with BYL719 (15 mg/kg) dissolved in Cremaphor EL.</t>
  </si>
  <si>
    <t>animal was exposed to 4C for 6 total hours (infusion ended at 6 hours of cold exposure)</t>
  </si>
  <si>
    <t>animal was housed at 6C for 4 weeks prior to the day of infusion, and the infusion was carried out in same temperature</t>
  </si>
  <si>
    <t>Mice with a left flank KPC tumor (~300-600mm^3) were fasted for 6h, and then oral gavaged with carboxymethylcellulose (vehicle control) followed by immediately starting infusion of U-13C-Valine for 2h.  This is a control for the BYL-719 treatment.</t>
  </si>
  <si>
    <t>Animal was on 20% sucrose drinking water for 4 weeks. Animal received 50 mM 13C-glycine infusion for ~48 hours. This is a control for the sucrose water plus high glycine infusion treatment.</t>
  </si>
  <si>
    <t>Drinking water with 20 uM NaOH dissolved in 0.01% BSA. This is a vehicle control for the T3 via drinking water treatment.</t>
  </si>
  <si>
    <t>Mice were injected i.p. with vehicle (5% DMSO, 10% Cremaphor EL, 85% 100 mM sodium bicarbonate pH 9.0). This is a control for MG132 via acute injection and BYL719 via acute injection treatments.</t>
  </si>
  <si>
    <t>Mice were injected i.p. with saline. This is a control for HCQ via acute injection treatment.</t>
  </si>
  <si>
    <t>Mice were injected i.p. with EIPA (300 ug/mouse) at t=130 minutes.</t>
  </si>
  <si>
    <t>Mice were injected i.p. with hydroxychloroquine (50 mg/kg) dissolved in saline.</t>
  </si>
  <si>
    <t>Mice were injected i.p. with MG132 (12 mg/kg) dissolved in Cremaphor EL.</t>
  </si>
  <si>
    <t>Perturbative rate of lysine and arginine infusion caused by incorrect settings in infusion pump</t>
  </si>
  <si>
    <t>Animal was on 20% sucrose drinking water for 4 weeks. Animal received 50 mM 13C-glycine &amp; 450 mM 12C-glycine (500 mM glycine total) infusion for ~48 hours.</t>
  </si>
  <si>
    <t>Drinking water with 0.5 mg/L T3 (Triiodothyronine) dissolved in 0.01% BSA.  Provided for a minimum of 2 weeks before experiment.</t>
  </si>
  <si>
    <t>animal was housed at thermoneutrality for 4 weeks prior to the day of infusion, and the infusion was carried out in same temperature</t>
  </si>
  <si>
    <t>blood_cells_tail</t>
  </si>
  <si>
    <t>bone_marrow_femur</t>
  </si>
  <si>
    <t>brain</t>
  </si>
  <si>
    <t>brown_adipose_tissue</t>
  </si>
  <si>
    <t>cecum</t>
  </si>
  <si>
    <t>cecum_contents</t>
  </si>
  <si>
    <t>colon</t>
  </si>
  <si>
    <t>diaphragm</t>
  </si>
  <si>
    <t>ear</t>
  </si>
  <si>
    <t>epididymis</t>
  </si>
  <si>
    <t>eye</t>
  </si>
  <si>
    <t>feces</t>
  </si>
  <si>
    <t>gastrocnemius</t>
  </si>
  <si>
    <t>heart</t>
  </si>
  <si>
    <t>kidney</t>
  </si>
  <si>
    <t>liver</t>
  </si>
  <si>
    <t>lung</t>
  </si>
  <si>
    <t>lymph_node</t>
  </si>
  <si>
    <t>ovary</t>
  </si>
  <si>
    <t>pancreas</t>
  </si>
  <si>
    <t>prostate</t>
  </si>
  <si>
    <t>quadricep</t>
  </si>
  <si>
    <t>seminal_fluid</t>
  </si>
  <si>
    <t>seminal_vesicle</t>
  </si>
  <si>
    <t>serum_plasma_artery</t>
  </si>
  <si>
    <t>serum_plasma_portal</t>
  </si>
  <si>
    <t>serum_plasma_tail</t>
  </si>
  <si>
    <t>serum_plasma_unspecified_location</t>
  </si>
  <si>
    <t>skeletal_muscle_unspecified_location</t>
  </si>
  <si>
    <t>skin</t>
  </si>
  <si>
    <t>small_intestine</t>
  </si>
  <si>
    <t>soleus</t>
  </si>
  <si>
    <t>spleen</t>
  </si>
  <si>
    <t>stomach</t>
  </si>
  <si>
    <t>testicle</t>
  </si>
  <si>
    <t>thymus</t>
  </si>
  <si>
    <t>tibialus_anterior</t>
  </si>
  <si>
    <t>tumor_hct116</t>
  </si>
  <si>
    <t>tumor_HCT116</t>
  </si>
  <si>
    <t>tumor_nonspecific</t>
  </si>
  <si>
    <t>urine</t>
  </si>
  <si>
    <t>uterus</t>
  </si>
  <si>
    <t>white_adipose_tissue_gonadal</t>
  </si>
  <si>
    <t>white_adipose_tissue_inguinal</t>
  </si>
  <si>
    <t>white_adipose_tissue_unspecified_location</t>
  </si>
  <si>
    <t>blood collected from tail snip and serum removed</t>
  </si>
  <si>
    <t>bone marrow collected from thigh bone</t>
  </si>
  <si>
    <t>whole brain</t>
  </si>
  <si>
    <t>brown adipose tissue</t>
  </si>
  <si>
    <t>cecum contents</t>
  </si>
  <si>
    <t>diaphragm muscle</t>
  </si>
  <si>
    <t>outer ear, usually collected as a representative skin sample</t>
  </si>
  <si>
    <t>eyeball</t>
  </si>
  <si>
    <t>gastrocnemius muscle</t>
  </si>
  <si>
    <t>heart muscle (ventricle)</t>
  </si>
  <si>
    <t>lymph node</t>
  </si>
  <si>
    <t>quadricep muscle</t>
  </si>
  <si>
    <t>isolated seminal fluid</t>
  </si>
  <si>
    <t>intact seminal vesicle</t>
  </si>
  <si>
    <t>serum or plasma collected from any artery</t>
  </si>
  <si>
    <t>serum or plasma collected from portal vein</t>
  </si>
  <si>
    <t>serum or plasma collected from tail snip</t>
  </si>
  <si>
    <t>serum or plasma - only use when the source is unknown</t>
  </si>
  <si>
    <t>unspecified skeletal muscle - only use this if source muscle is unknown</t>
  </si>
  <si>
    <t>unspecified source of skin - only use this if source of skin is unknown</t>
  </si>
  <si>
    <t>small intestine</t>
  </si>
  <si>
    <t>tibialus anterior muscle</t>
  </si>
  <si>
    <t>xenograft tumor of HCT116 cells</t>
  </si>
  <si>
    <t>unspecified tumor - only use this if other information is unknown</t>
  </si>
  <si>
    <t>gonadal white adipose tissue</t>
  </si>
  <si>
    <t>inguinal white adipose tissue</t>
  </si>
  <si>
    <t>unspecified white adipose tissue - only use this if source fat depot is unknown</t>
  </si>
  <si>
    <t>HMDB ID</t>
  </si>
  <si>
    <t>Formula</t>
  </si>
  <si>
    <t>Synonyms</t>
  </si>
  <si>
    <t>hydroxypropionic acid</t>
  </si>
  <si>
    <t>D-fructose</t>
  </si>
  <si>
    <t>galactose</t>
  </si>
  <si>
    <t>L-gulose</t>
  </si>
  <si>
    <t>mannose</t>
  </si>
  <si>
    <t>myo-inositol</t>
  </si>
  <si>
    <t>HMDB0000122</t>
  </si>
  <si>
    <t>HMDB0000190</t>
  </si>
  <si>
    <t>HMDB0000182</t>
  </si>
  <si>
    <t>HMDB0000700</t>
  </si>
  <si>
    <t>HMDB0000660</t>
  </si>
  <si>
    <t>HMDB0000143</t>
  </si>
  <si>
    <t>HMDB0012326</t>
  </si>
  <si>
    <t>HMDB0000169</t>
  </si>
  <si>
    <t>HMDB0000211</t>
  </si>
  <si>
    <t>C6H12O6</t>
  </si>
  <si>
    <t>C3H6O3</t>
  </si>
  <si>
    <t>C6H14N2O2</t>
  </si>
  <si>
    <t>D-Glucose;Glucose;dextrose;glucose</t>
  </si>
  <si>
    <t>2-hydroxypropanoate;2-hydroxypropanoic acid;L-Lactic acid;Lactate;lactate;lactic acid</t>
  </si>
  <si>
    <t>L-Lysine;Lysine;lys;lysine</t>
  </si>
  <si>
    <t>Hydroxypropionic acid;hydroxypropionic acid</t>
  </si>
  <si>
    <t>D-Galactose;Galactose;galactose</t>
  </si>
  <si>
    <t>Mannose;mannose</t>
  </si>
  <si>
    <t>Myo-inositol;inositol;myo-inositol</t>
  </si>
  <si>
    <t>LC Protocol</t>
  </si>
  <si>
    <t>Run Length</t>
  </si>
  <si>
    <t>lipid-reversed-phase-25-min</t>
  </si>
  <si>
    <t>polar-reversed-phase-25-min</t>
  </si>
  <si>
    <t>polar-reversed-phase-ion-pairing-25-min</t>
  </si>
  <si>
    <t>lipid-reversed-phase</t>
  </si>
  <si>
    <t>polar-HILIC</t>
  </si>
  <si>
    <t>polar-reversed-phase</t>
  </si>
  <si>
    <t>polar-reversed-phase-ion-pairing</t>
  </si>
  <si>
    <t>This method involves the analysis of lipids using reversed-phase chromatography on C18 columns, coupled with high resolution mass spectrometry. It is mainly used for the analysis of lipids.</t>
  </si>
  <si>
    <t>This method involves the analysis of polar metabolites using HILIC on Waters Amide columns with basic buffer, coupled with high resolution mass spectrometry</t>
  </si>
  <si>
    <t>This method involves the analysis of polar metabolites using C18 columns with acidic buffer, coupled with high resolution mass spectrometry. It is mainly used for the analysis of amino acids and derivatives.</t>
  </si>
  <si>
    <t>This method involves the analysis of polar metabolites using reversed-phase ion pairing chromatography on C18 columns, coupled with high resolution mass spectrometry. It provides good separation and detection for polar metabolites in negative ion mode, in particular phosphate metabolites.</t>
  </si>
  <si>
    <t>Liquid chromatography methodology was not provided or is unavailable.</t>
  </si>
  <si>
    <t>obob_fasted</t>
  </si>
  <si>
    <t>Infusion was actually 6 labeled tracers:  Histidine, Lysine, Methionine, Phenylalanine, Threonine, Tryptophan</t>
  </si>
  <si>
    <t>WT</t>
  </si>
  <si>
    <t>Xianfeng Zeng</t>
  </si>
  <si>
    <t>No manipulation besides what is already described in other fields.</t>
  </si>
  <si>
    <t>Fasted</t>
  </si>
  <si>
    <t>ob/ob homozygous mice were fasted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</si>
</sst>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Calibri"/>
      <family val="2"/>
      <scheme val="minor"/>
    </font>
    <font>
      <b/>
      <sz val="11"/>
      <color theme="1"/>
      <name val="Calibri"/>
      <family val="2"/>
      <scheme val="minor"/>
    </font>
    <font>
      <sz val="10"/>
      <color indexed="81"/>
      <name val="Courier"/>
      <family val="2"/>
    </font>
    <font>
      <sz val="10"/>
      <color rgb="FF000000"/>
      <name val="Courier"/>
      <family val="2"/>
    </font>
    <font>
      <sz val="10"/>
      <color rgb="FF000000"/>
      <name val="Calibri"/>
      <family val="2"/>
      <scheme val="minor"/>
    </font>
  </fonts>
  <fills count="3">
    <fill>
      <patternFill patternType="none"/>
    </fill>
    <fill>
      <patternFill patternType="gray125"/>
    </fill>
    <fill>
      <patternFill patternType="solid">
        <fgColor rgb="FFF2F2F2"/>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0" fontId="0" fillId="2" borderId="2" xfId="0" applyFill="1" applyBorder="1"/>
    <xf numFmtId="14" fontId="0" fillId="0" borderId="0" xfId="0" applyNumberFormat="1"/>
    <xf numFmtId="0" fontId="4" fillId="0" borderId="0" xfId="0" applyFont="1"/>
  </cellXfs>
  <cellStyles count="1">
    <cellStyle name="Normal" xfId="0" builtinId="0"/>
  </cellStyles>
  <dxfs count="35">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FFFFFF"/>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F2F2F2"/>
        </patternFill>
      </fill>
      <border>
        <left style="thin">
          <color auto="1"/>
        </left>
        <right style="thin">
          <color auto="1"/>
        </right>
        <top style="thin">
          <color auto="1"/>
        </top>
        <bottom style="thin">
          <color auto="1"/>
        </bottom>
        <vertical/>
        <horizontal/>
      </border>
    </dxf>
    <dxf>
      <font>
        <b/>
      </font>
      <fill>
        <patternFill>
          <bgColor rgb="FFFFFFFF"/>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FFFFFF"/>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FFFFFF"/>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FFFFFF"/>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FFFFFF"/>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F2F2F2"/>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FFFFFF"/>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FFFFFF"/>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FFFFFF"/>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F2F2F2"/>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FFFFFF"/>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F2F2F2"/>
        </patternFill>
      </fill>
      <border>
        <left style="thin">
          <color auto="1"/>
        </left>
        <right style="thin">
          <color auto="1"/>
        </right>
        <top style="thin">
          <color auto="1"/>
        </top>
        <bottom style="thin">
          <color auto="1"/>
        </bottom>
        <vertical/>
        <horizontal/>
      </border>
    </dxf>
    <dxf>
      <font>
        <b/>
      </font>
      <fill>
        <patternFill>
          <bgColor rgb="FFFFFFFF"/>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FFFFFF"/>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
  <sheetViews>
    <sheetView workbookViewId="0">
      <selection activeCell="A2" sqref="A2"/>
    </sheetView>
  </sheetViews>
  <sheetFormatPr baseColWidth="10" defaultColWidth="8.83203125" defaultRowHeight="15"/>
  <cols>
    <col min="1" max="1" width="10.5" bestFit="1" customWidth="1"/>
    <col min="2" max="2" width="84.6640625" bestFit="1" customWidth="1"/>
  </cols>
  <sheetData>
    <row r="1" spans="1:2">
      <c r="A1" s="1" t="s">
        <v>0</v>
      </c>
      <c r="B1" s="1" t="s">
        <v>1</v>
      </c>
    </row>
    <row r="2" spans="1:2">
      <c r="A2" t="s">
        <v>214</v>
      </c>
      <c r="B2" t="s">
        <v>215</v>
      </c>
    </row>
  </sheetData>
  <conditionalFormatting sqref="A1">
    <cfRule type="notContainsErrors" dxfId="34" priority="1">
      <formula>NOT(ISERROR(A1))</formula>
    </cfRule>
  </conditionalFormatting>
  <conditionalFormatting sqref="B1">
    <cfRule type="notContainsErrors" dxfId="33" priority="2">
      <formula>NOT(ISERROR(B1))</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2"/>
  <sheetViews>
    <sheetView workbookViewId="0">
      <selection activeCell="B2" sqref="B2"/>
    </sheetView>
  </sheetViews>
  <sheetFormatPr baseColWidth="10" defaultColWidth="8.83203125" defaultRowHeight="15"/>
  <cols>
    <col min="1" max="1" width="16.5" bestFit="1" customWidth="1"/>
    <col min="2" max="2" width="10.6640625" bestFit="1" customWidth="1"/>
    <col min="3" max="3" width="13.1640625" bestFit="1" customWidth="1"/>
    <col min="4" max="4" width="8.5" bestFit="1" customWidth="1"/>
    <col min="5" max="5" width="11.5" bestFit="1" customWidth="1"/>
    <col min="6" max="6" width="14.33203125" bestFit="1" customWidth="1"/>
    <col min="7" max="7" width="17.5" style="2" bestFit="1" customWidth="1"/>
  </cols>
  <sheetData>
    <row r="1" spans="1:7">
      <c r="A1" s="1" t="s">
        <v>2</v>
      </c>
      <c r="B1" s="1" t="s">
        <v>3</v>
      </c>
      <c r="C1" s="1" t="s">
        <v>4</v>
      </c>
      <c r="D1" s="1" t="s">
        <v>5</v>
      </c>
      <c r="E1" s="1" t="s">
        <v>6</v>
      </c>
      <c r="F1" s="1" t="s">
        <v>7</v>
      </c>
      <c r="G1" s="1" t="s">
        <v>8</v>
      </c>
    </row>
    <row r="2" spans="1:7">
      <c r="A2">
        <v>1</v>
      </c>
      <c r="B2" t="s">
        <v>11</v>
      </c>
      <c r="C2">
        <v>13</v>
      </c>
      <c r="D2" t="s">
        <v>12</v>
      </c>
      <c r="E2">
        <v>6</v>
      </c>
      <c r="G2" s="2" t="s">
        <v>13</v>
      </c>
    </row>
    <row r="3" spans="1:7">
      <c r="G3" s="2" t="str" cm="1">
        <f t="array" aca="1" ref="G3"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4" spans="1:7">
      <c r="G4" s="2" t="str" cm="1">
        <f t="array" aca="1" ref="G4"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5" spans="1:7">
      <c r="G5" s="2" t="str" cm="1">
        <f t="array" aca="1" ref="G5"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6" spans="1:7">
      <c r="G6" s="2" t="str" cm="1">
        <f t="array" aca="1" ref="G6"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7" spans="1:7">
      <c r="G7" s="2" t="str" cm="1">
        <f t="array" aca="1" ref="G7"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8" spans="1:7">
      <c r="G8" s="2" t="str" cm="1">
        <f t="array" aca="1" ref="G8"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9" spans="1:7">
      <c r="G9" s="2" t="str" cm="1">
        <f t="array" aca="1" ref="G9"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10" spans="1:7">
      <c r="G10" s="2" t="str" cm="1">
        <f t="array" aca="1" ref="G10"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11" spans="1:7">
      <c r="G11" s="2" t="str" cm="1">
        <f t="array" aca="1" ref="G11"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12" spans="1:7">
      <c r="G12" s="2" t="str" cm="1">
        <f t="array" aca="1" ref="G12"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13" spans="1:7">
      <c r="G13" s="2" t="str" cm="1">
        <f t="array" aca="1" ref="G13"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14" spans="1:7">
      <c r="G14" s="2" t="str" cm="1">
        <f t="array" aca="1" ref="G14"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15" spans="1:7">
      <c r="G15" s="2" t="str" cm="1">
        <f t="array" aca="1" ref="G15"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16" spans="1:7">
      <c r="G16" s="2" t="str" cm="1">
        <f t="array" aca="1" ref="G16"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17" spans="7:7">
      <c r="G17" s="2" t="str" cm="1">
        <f t="array" aca="1" ref="G17"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18" spans="7:7">
      <c r="G18" s="2" t="str" cm="1">
        <f t="array" aca="1" ref="G18"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19" spans="7:7">
      <c r="G19" s="2" t="str" cm="1">
        <f t="array" aca="1" ref="G19"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20" spans="7:7">
      <c r="G20" s="2" t="str" cm="1">
        <f t="array" aca="1" ref="G20"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21" spans="7:7">
      <c r="G21" s="2" t="str" cm="1">
        <f t="array" aca="1" ref="G21"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22" spans="7:7">
      <c r="G22" s="2" t="str" cm="1">
        <f t="array" aca="1" ref="G22"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sheetData>
  <conditionalFormatting sqref="A1:E1">
    <cfRule type="notContainsErrors" dxfId="32" priority="1">
      <formula>NOT(ISERROR(A1))</formula>
    </cfRule>
  </conditionalFormatting>
  <conditionalFormatting sqref="F1">
    <cfRule type="notContainsErrors" dxfId="31" priority="6">
      <formula>NOT(ISERROR(F1))</formula>
    </cfRule>
  </conditionalFormatting>
  <conditionalFormatting sqref="G1">
    <cfRule type="notContainsErrors" dxfId="30" priority="7">
      <formula>NOT(ISERROR(G1))</formula>
    </cfRule>
  </conditionalFormatting>
  <dataValidations count="1">
    <dataValidation type="list" allowBlank="1" showInputMessage="1" showErrorMessage="1" sqref="D2:D21" xr:uid="{00000000-0002-0000-0100-000001000000}">
      <formula1>"C,H,N,O,P,S"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xr:uid="{00000000-0002-0000-0100-000000000000}">
          <x14:formula1>
            <xm:f>Compounds!$A$2:$A$29</xm:f>
          </x14:formula1>
          <xm:sqref>B2:B21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2"/>
  <sheetViews>
    <sheetView workbookViewId="0">
      <selection activeCell="A2" sqref="A2"/>
    </sheetView>
  </sheetViews>
  <sheetFormatPr baseColWidth="10" defaultColWidth="8.83203125" defaultRowHeight="15"/>
  <cols>
    <col min="1" max="1" width="18.5" bestFit="1" customWidth="1"/>
    <col min="2" max="2" width="18" bestFit="1" customWidth="1"/>
    <col min="3" max="3" width="17.33203125" bestFit="1" customWidth="1"/>
    <col min="4" max="4" width="19.5" bestFit="1" customWidth="1"/>
    <col min="5" max="5" width="38.1640625" style="2" bestFit="1" customWidth="1"/>
  </cols>
  <sheetData>
    <row r="1" spans="1:5">
      <c r="A1" s="1" t="s">
        <v>14</v>
      </c>
      <c r="B1" s="1" t="s">
        <v>15</v>
      </c>
      <c r="C1" s="1" t="s">
        <v>16</v>
      </c>
      <c r="D1" s="1" t="s">
        <v>17</v>
      </c>
      <c r="E1" s="1" t="s">
        <v>18</v>
      </c>
    </row>
    <row r="2" spans="1:5">
      <c r="A2">
        <v>1</v>
      </c>
      <c r="C2" t="s">
        <v>13</v>
      </c>
      <c r="D2">
        <v>23.2</v>
      </c>
      <c r="E2" s="2" t="s">
        <v>19</v>
      </c>
    </row>
    <row r="3" spans="1:5">
      <c r="E3" s="2" t="str" cm="1">
        <f t="array" aca="1" ref="E3"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4" spans="1:5">
      <c r="E4" s="2" t="str" cm="1">
        <f t="array" aca="1" ref="E4"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5" spans="1:5">
      <c r="E5" s="2" t="str" cm="1">
        <f t="array" aca="1" ref="E5"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6" spans="1:5">
      <c r="E6" s="2" t="str" cm="1">
        <f t="array" aca="1" ref="E6"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7" spans="1:5">
      <c r="E7" s="2" t="str" cm="1">
        <f t="array" aca="1" ref="E7"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8" spans="1:5">
      <c r="E8" s="2" t="str" cm="1">
        <f t="array" aca="1" ref="E8"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9" spans="1:5">
      <c r="E9" s="2" t="str" cm="1">
        <f t="array" aca="1" ref="E9"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10" spans="1:5">
      <c r="E10" s="2" t="str" cm="1">
        <f t="array" aca="1" ref="E10"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11" spans="1:5">
      <c r="E11" s="2" t="str" cm="1">
        <f t="array" aca="1" ref="E11"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12" spans="1:5">
      <c r="E12" s="2" t="str" cm="1">
        <f t="array" aca="1" ref="E12"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13" spans="1:5">
      <c r="E13" s="2" t="str" cm="1">
        <f t="array" aca="1" ref="E13"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14" spans="1:5">
      <c r="E14" s="2" t="str" cm="1">
        <f t="array" aca="1" ref="E14"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15" spans="1:5">
      <c r="E15" s="2" t="str" cm="1">
        <f t="array" aca="1" ref="E15"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16" spans="1:5">
      <c r="E16" s="2" t="str" cm="1">
        <f t="array" aca="1" ref="E16"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17" spans="5:5">
      <c r="E17" s="2" t="str" cm="1">
        <f t="array" aca="1" ref="E17"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18" spans="5:5">
      <c r="E18" s="2" t="str" cm="1">
        <f t="array" aca="1" ref="E18"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19" spans="5:5">
      <c r="E19" s="2" t="str" cm="1">
        <f t="array" aca="1" ref="E19"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20" spans="5:5">
      <c r="E20" s="2" t="str" cm="1">
        <f t="array" aca="1" ref="E20"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21" spans="5:5">
      <c r="E21" s="2" t="str" cm="1">
        <f t="array" aca="1" ref="E21"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22" spans="5:5">
      <c r="E22" s="2" t="str" cm="1">
        <f t="array" aca="1" ref="E22"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sheetData>
  <conditionalFormatting sqref="A1">
    <cfRule type="notContainsErrors" dxfId="29" priority="1">
      <formula>NOT(ISERROR(A1))</formula>
    </cfRule>
  </conditionalFormatting>
  <conditionalFormatting sqref="B1">
    <cfRule type="notContainsErrors" dxfId="28" priority="2">
      <formula>NOT(ISERROR(B1))</formula>
    </cfRule>
  </conditionalFormatting>
  <conditionalFormatting sqref="C1:D1">
    <cfRule type="notContainsErrors" dxfId="27" priority="3">
      <formula>NOT(ISERROR(C1))</formula>
    </cfRule>
  </conditionalFormatting>
  <conditionalFormatting sqref="E1">
    <cfRule type="notContainsErrors" dxfId="26" priority="5">
      <formula>NOT(ISERROR(E1))</formula>
    </cfRule>
  </conditionalFormatting>
  <dataValidations count="1">
    <dataValidation type="list" allowBlank="1" showInputMessage="1" sqref="B2:B21" xr:uid="{00000000-0002-0000-0200-000000000000}">
      <formula1>"6EAAs (MFWKHT),BCAAs (VLI),BCAAs_13C,KLI"</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xr:uid="{00000000-0002-0000-0200-000001000000}">
          <x14:formula1>
            <xm:f>Tracers!$G$2:$G$21</xm:f>
          </x14:formula1>
          <xm:sqref>C2:C21</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2"/>
  <sheetViews>
    <sheetView workbookViewId="0">
      <selection activeCell="J4" sqref="J4"/>
    </sheetView>
  </sheetViews>
  <sheetFormatPr baseColWidth="10" defaultColWidth="8.83203125" defaultRowHeight="15"/>
  <cols>
    <col min="1" max="1" width="11.5" bestFit="1" customWidth="1"/>
    <col min="2" max="2" width="4.1640625" bestFit="1" customWidth="1"/>
    <col min="3" max="3" width="3.83203125" bestFit="1" customWidth="1"/>
    <col min="4" max="4" width="8.83203125" bestFit="1" customWidth="1"/>
    <col min="5" max="5" width="6.83203125" bestFit="1" customWidth="1"/>
    <col min="6" max="6" width="15.5" bestFit="1" customWidth="1"/>
    <col min="7" max="7" width="11.1640625" bestFit="1" customWidth="1"/>
    <col min="8" max="8" width="4.5" bestFit="1" customWidth="1"/>
    <col min="9" max="9" width="12.33203125" bestFit="1" customWidth="1"/>
    <col min="10" max="11" width="10.5" bestFit="1" customWidth="1"/>
  </cols>
  <sheetData>
    <row r="1" spans="1:11">
      <c r="A1" s="1" t="s">
        <v>20</v>
      </c>
      <c r="B1" s="1" t="s">
        <v>21</v>
      </c>
      <c r="C1" s="1" t="s">
        <v>22</v>
      </c>
      <c r="D1" s="1" t="s">
        <v>23</v>
      </c>
      <c r="E1" s="1" t="s">
        <v>24</v>
      </c>
      <c r="F1" s="1" t="s">
        <v>25</v>
      </c>
      <c r="G1" s="1" t="s">
        <v>26</v>
      </c>
      <c r="H1" s="1" t="s">
        <v>27</v>
      </c>
      <c r="I1" s="1" t="s">
        <v>28</v>
      </c>
      <c r="J1" s="1" t="s">
        <v>29</v>
      </c>
      <c r="K1" s="1" t="s">
        <v>30</v>
      </c>
    </row>
    <row r="2" spans="1:11">
      <c r="A2">
        <v>971</v>
      </c>
      <c r="D2" t="s">
        <v>216</v>
      </c>
      <c r="E2">
        <v>26.3</v>
      </c>
      <c r="F2" t="s">
        <v>19</v>
      </c>
      <c r="G2">
        <v>0.11</v>
      </c>
      <c r="I2" t="s">
        <v>219</v>
      </c>
      <c r="J2" t="s">
        <v>214</v>
      </c>
      <c r="K2" t="s">
        <v>214</v>
      </c>
    </row>
  </sheetData>
  <conditionalFormatting sqref="A1">
    <cfRule type="notContainsErrors" dxfId="25" priority="1">
      <formula>NOT(ISERROR(A1))</formula>
    </cfRule>
  </conditionalFormatting>
  <conditionalFormatting sqref="B1:C1">
    <cfRule type="notContainsErrors" dxfId="24" priority="2">
      <formula>NOT(ISERROR(B1))</formula>
    </cfRule>
  </conditionalFormatting>
  <conditionalFormatting sqref="D1">
    <cfRule type="notContainsErrors" dxfId="23" priority="4">
      <formula>NOT(ISERROR(D1))</formula>
    </cfRule>
  </conditionalFormatting>
  <conditionalFormatting sqref="E1:J1">
    <cfRule type="notContainsErrors" dxfId="22" priority="5">
      <formula>NOT(ISERROR(E1))</formula>
    </cfRule>
  </conditionalFormatting>
  <conditionalFormatting sqref="K1">
    <cfRule type="notContainsErrors" dxfId="21" priority="11">
      <formula>NOT(ISERROR(K1))</formula>
    </cfRule>
  </conditionalFormatting>
  <dataValidations count="4">
    <dataValidation type="list" allowBlank="1" showInputMessage="1" showErrorMessage="1" sqref="C2:C20" xr:uid="{00000000-0002-0000-0300-000000000000}">
      <formula1>"F,M"</formula1>
    </dataValidation>
    <dataValidation type="list" allowBlank="1" showInputMessage="1" sqref="D2:D20" xr:uid="{00000000-0002-0000-0300-000001000000}">
      <formula1>"C57BL/6,C57BL/6J,THMYCN (het),WT,WT C57BL/6N with Flank KPC tumor,alb-/-,ob/ob"</formula1>
    </dataValidation>
    <dataValidation type="list" allowBlank="1" showInputMessage="1" sqref="H2:H20" xr:uid="{00000000-0002-0000-0300-000003000000}">
      <formula1>"Keto diet bioserv S3666,LabDiet #5053,LabDiet 5001,LabDiet 5010,LabDiet Rodent 5001,PicoLab Rodent 20 5053,PicoLab Rodent 20 5054,PicoLab Rodent 20 5055,PicoLab Rodent 20 5056,TestDiet 5B62_Ser/Gly-Free,..."</formula1>
    </dataValidation>
    <dataValidation type="list" allowBlank="1" showInputMessage="1" sqref="I3:I20" xr:uid="{00000000-0002-0000-0300-000004000000}">
      <formula1>"fasted,fed,refed"</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xr:uid="{00000000-0002-0000-0300-000005000000}">
          <x14:formula1>
            <xm:f>Treatments!$A$2:$A$37</xm:f>
          </x14:formula1>
          <xm:sqref>J2:J20</xm:sqref>
        </x14:dataValidation>
        <x14:dataValidation type="list" allowBlank="1" showInputMessage="1" xr:uid="{00000000-0002-0000-0300-000006000000}">
          <x14:formula1>
            <xm:f>Study!$A$2:$A$20</xm:f>
          </x14:formula1>
          <xm:sqref>K2:K20</xm:sqref>
        </x14:dataValidation>
        <x14:dataValidation type="list" allowBlank="1" showInputMessage="1" xr:uid="{00000000-0002-0000-0300-000002000000}">
          <x14:formula1>
            <xm:f>Infusates!$E$2:$E$21</xm:f>
          </x14:formula1>
          <xm:sqref>F2:F20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
  <sheetViews>
    <sheetView workbookViewId="0">
      <selection activeCell="A2" sqref="A2"/>
    </sheetView>
  </sheetViews>
  <sheetFormatPr baseColWidth="10" defaultColWidth="8.83203125" defaultRowHeight="15"/>
  <cols>
    <col min="1" max="1" width="10.83203125" bestFit="1" customWidth="1"/>
    <col min="2" max="2" width="12.6640625" bestFit="1" customWidth="1"/>
    <col min="3" max="3" width="14.6640625" bestFit="1" customWidth="1"/>
    <col min="4" max="4" width="29.1640625" bestFit="1" customWidth="1"/>
    <col min="5" max="5" width="13.33203125" bestFit="1" customWidth="1"/>
    <col min="6" max="6" width="6.6640625" bestFit="1" customWidth="1"/>
  </cols>
  <sheetData>
    <row r="1" spans="1:6">
      <c r="A1" s="1" t="s">
        <v>31</v>
      </c>
      <c r="B1" s="1" t="s">
        <v>32</v>
      </c>
      <c r="C1" s="1" t="s">
        <v>33</v>
      </c>
      <c r="D1" s="1" t="s">
        <v>34</v>
      </c>
      <c r="E1" s="1" t="s">
        <v>35</v>
      </c>
      <c r="F1" s="1" t="s">
        <v>36</v>
      </c>
    </row>
    <row r="2" spans="1:6">
      <c r="A2" t="s">
        <v>37</v>
      </c>
      <c r="B2" s="3">
        <v>44154</v>
      </c>
      <c r="C2" t="s">
        <v>217</v>
      </c>
      <c r="D2" t="s">
        <v>127</v>
      </c>
      <c r="E2">
        <v>150</v>
      </c>
      <c r="F2">
        <v>971</v>
      </c>
    </row>
  </sheetData>
  <conditionalFormatting sqref="A1:D1">
    <cfRule type="notContainsErrors" dxfId="20" priority="1">
      <formula>NOT(ISERROR(A1))</formula>
    </cfRule>
  </conditionalFormatting>
  <conditionalFormatting sqref="E1">
    <cfRule type="notContainsErrors" dxfId="19" priority="5">
      <formula>NOT(ISERROR(E1))</formula>
    </cfRule>
  </conditionalFormatting>
  <conditionalFormatting sqref="F1">
    <cfRule type="notContainsErrors" dxfId="18" priority="6">
      <formula>NOT(ISERROR(F1))</formula>
    </cfRule>
  </conditionalFormatting>
  <dataValidations count="1">
    <dataValidation type="list" allowBlank="1" showInputMessage="1" sqref="C2:C21" xr:uid="{00000000-0002-0000-0400-000000000000}">
      <formula1>"Asael Roichman,Caroline Bartman,Connor Jankowski,Jenna AbuSalim,Lingfan Liang,Marc Bornstein,Matthew McBride,Michael Neinast,Sheng Hui,Tara TeSlaa,Won Dong Lee,Xianfeng Zeng,Zhaoyue Zhang,Zihong Chen"</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xr:uid="{00000000-0002-0000-0400-000001000000}">
          <x14:formula1>
            <xm:f>Tissues!$A$2:$A$65</xm:f>
          </x14:formula1>
          <xm:sqref>D2:D21</xm:sqref>
        </x14:dataValidation>
        <x14:dataValidation type="list" allowBlank="1" showInputMessage="1" xr:uid="{00000000-0002-0000-0400-000002000000}">
          <x14:formula1>
            <xm:f>Animals!$A$2:$A$20</xm:f>
          </x14:formula1>
          <xm:sqref>F2:F21</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2"/>
  <sheetViews>
    <sheetView workbookViewId="0">
      <selection activeCell="A2" sqref="A2"/>
    </sheetView>
  </sheetViews>
  <sheetFormatPr baseColWidth="10" defaultColWidth="8.83203125" defaultRowHeight="15"/>
  <cols>
    <col min="1" max="1" width="47.5" style="2" bestFit="1" customWidth="1"/>
    <col min="2" max="2" width="13.1640625" bestFit="1" customWidth="1"/>
    <col min="3" max="3" width="15.6640625" bestFit="1" customWidth="1"/>
    <col min="4" max="4" width="9.83203125" bestFit="1" customWidth="1"/>
    <col min="5" max="5" width="10.1640625" bestFit="1" customWidth="1"/>
    <col min="6" max="6" width="5.6640625" bestFit="1" customWidth="1"/>
  </cols>
  <sheetData>
    <row r="1" spans="1:6">
      <c r="A1" s="1" t="s">
        <v>38</v>
      </c>
      <c r="B1" s="1" t="s">
        <v>39</v>
      </c>
      <c r="C1" s="1" t="s">
        <v>40</v>
      </c>
      <c r="D1" s="1" t="s">
        <v>41</v>
      </c>
      <c r="E1" s="1" t="s">
        <v>42</v>
      </c>
      <c r="F1" s="1" t="s">
        <v>43</v>
      </c>
    </row>
    <row r="2" spans="1:6">
      <c r="A2" s="2" t="str">
        <f t="shared" ref="A2:A22" ca="1" si="0">IF(OR(NOT(ISBLANK(INDIRECT("B" &amp; ROW()))),NOT(ISBLANK(INDIRECT("C" &amp; ROW()))),NOT(ISBLANK(INDIRECT("D" &amp; ROW()))),NOT(ISBLANK(INDIRECT("E" &amp; ROW()))),),_xlfn.TEXTJOIN(", ", FALSE, INDIRECT("B" &amp; ROW()), INDIRECT("C" &amp; ROW()), INDIRECT("D" &amp; ROW()), IF(ISBLANK(INDIRECT("E" &amp; ROW())),"",TEXT(INDIRECT("E" &amp; ROW()),"yyyy-mm-dd"))),"")</f>
        <v>Michael Neinast, polar-HILIC-25-min, unknown, 2021-06-03</v>
      </c>
      <c r="B2" t="s">
        <v>44</v>
      </c>
      <c r="C2" t="s">
        <v>45</v>
      </c>
      <c r="D2" t="s">
        <v>46</v>
      </c>
      <c r="E2" t="s">
        <v>47</v>
      </c>
    </row>
    <row r="3" spans="1:6">
      <c r="A3" s="2" t="str">
        <f t="shared" ca="1" si="0"/>
        <v/>
      </c>
    </row>
    <row r="4" spans="1:6">
      <c r="A4" s="2" t="str">
        <f t="shared" ca="1" si="0"/>
        <v/>
      </c>
    </row>
    <row r="5" spans="1:6">
      <c r="A5" s="2" t="str">
        <f t="shared" ca="1" si="0"/>
        <v/>
      </c>
    </row>
    <row r="6" spans="1:6">
      <c r="A6" s="2" t="str">
        <f t="shared" ca="1" si="0"/>
        <v/>
      </c>
    </row>
    <row r="7" spans="1:6">
      <c r="A7" s="2" t="str">
        <f t="shared" ca="1" si="0"/>
        <v/>
      </c>
    </row>
    <row r="8" spans="1:6">
      <c r="A8" s="2" t="str">
        <f t="shared" ca="1" si="0"/>
        <v/>
      </c>
    </row>
    <row r="9" spans="1:6">
      <c r="A9" s="2" t="str">
        <f t="shared" ca="1" si="0"/>
        <v/>
      </c>
    </row>
    <row r="10" spans="1:6">
      <c r="A10" s="2" t="str">
        <f t="shared" ca="1" si="0"/>
        <v/>
      </c>
    </row>
    <row r="11" spans="1:6">
      <c r="A11" s="2" t="str">
        <f t="shared" ca="1" si="0"/>
        <v/>
      </c>
    </row>
    <row r="12" spans="1:6">
      <c r="A12" s="2" t="str">
        <f t="shared" ca="1" si="0"/>
        <v/>
      </c>
    </row>
    <row r="13" spans="1:6">
      <c r="A13" s="2" t="str">
        <f t="shared" ca="1" si="0"/>
        <v/>
      </c>
    </row>
    <row r="14" spans="1:6">
      <c r="A14" s="2" t="str">
        <f t="shared" ca="1" si="0"/>
        <v/>
      </c>
    </row>
    <row r="15" spans="1:6">
      <c r="A15" s="2" t="str">
        <f t="shared" ca="1" si="0"/>
        <v/>
      </c>
    </row>
    <row r="16" spans="1:6">
      <c r="A16" s="2" t="str">
        <f t="shared" ca="1" si="0"/>
        <v/>
      </c>
    </row>
    <row r="17" spans="1:1">
      <c r="A17" s="2" t="str">
        <f t="shared" ca="1" si="0"/>
        <v/>
      </c>
    </row>
    <row r="18" spans="1:1">
      <c r="A18" s="2" t="str">
        <f t="shared" ca="1" si="0"/>
        <v/>
      </c>
    </row>
    <row r="19" spans="1:1">
      <c r="A19" s="2" t="str">
        <f t="shared" ca="1" si="0"/>
        <v/>
      </c>
    </row>
    <row r="20" spans="1:1">
      <c r="A20" s="2" t="str">
        <f t="shared" ca="1" si="0"/>
        <v/>
      </c>
    </row>
    <row r="21" spans="1:1">
      <c r="A21" s="2" t="str">
        <f t="shared" ca="1" si="0"/>
        <v/>
      </c>
    </row>
    <row r="22" spans="1:1">
      <c r="A22" s="2" t="str">
        <f t="shared" ca="1" si="0"/>
        <v/>
      </c>
    </row>
  </sheetData>
  <conditionalFormatting sqref="A1">
    <cfRule type="notContainsErrors" dxfId="17" priority="1">
      <formula>NOT(ISERROR(A1))</formula>
    </cfRule>
  </conditionalFormatting>
  <conditionalFormatting sqref="B1:E1">
    <cfRule type="notContainsErrors" dxfId="16" priority="2">
      <formula>NOT(ISERROR(B1))</formula>
    </cfRule>
  </conditionalFormatting>
  <conditionalFormatting sqref="F1">
    <cfRule type="notContainsErrors" dxfId="15" priority="6">
      <formula>NOT(ISERROR(F1))</formula>
    </cfRule>
  </conditionalFormatting>
  <dataValidations count="2">
    <dataValidation type="list" allowBlank="1" showInputMessage="1" sqref="B2:B21" xr:uid="{00000000-0002-0000-0500-000000000000}">
      <formula1>"Asael Roichman,Caroline Bartman,Connor Jankowski,Lingfan Liang,Marc Bornstein,Matthew McBride,Michael Neinast,Ricardo Cordova,Sheng Hui,Wenyun Lu,Won Dong Lee,Xianfeng Zeng,Zihong Chen"</formula1>
    </dataValidation>
    <dataValidation type="list" allowBlank="1" showInputMessage="1" showErrorMessage="1" sqref="D2:D21" xr:uid="{00000000-0002-0000-0500-000002000000}">
      <formula1>"Exploris240,Exploris480,ExplorisMX,QE,QE2,QEHF,QEPlus,unknown"</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xr:uid="{00000000-0002-0000-0500-000001000000}">
          <x14:formula1>
            <xm:f>'LC Protocols'!$A$2:$A$25</xm:f>
          </x14:formula1>
          <xm:sqref>C2:C21</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
  <sheetViews>
    <sheetView workbookViewId="0">
      <selection activeCell="A2" sqref="A2"/>
    </sheetView>
  </sheetViews>
  <sheetFormatPr baseColWidth="10" defaultColWidth="8.83203125" defaultRowHeight="15"/>
  <cols>
    <col min="1" max="1" width="30.1640625" bestFit="1" customWidth="1"/>
    <col min="2" max="2" width="9.83203125" bestFit="1" customWidth="1"/>
    <col min="3" max="3" width="47.5" bestFit="1" customWidth="1"/>
  </cols>
  <sheetData>
    <row r="1" spans="1:3">
      <c r="A1" s="1" t="s">
        <v>48</v>
      </c>
      <c r="B1" s="1" t="s">
        <v>49</v>
      </c>
      <c r="C1" s="1" t="s">
        <v>50</v>
      </c>
    </row>
    <row r="2" spans="1:3">
      <c r="A2" t="s">
        <v>51</v>
      </c>
      <c r="B2" t="s">
        <v>52</v>
      </c>
      <c r="C2" t="s">
        <v>53</v>
      </c>
    </row>
  </sheetData>
  <conditionalFormatting sqref="A1">
    <cfRule type="notContainsErrors" dxfId="14" priority="1">
      <formula>NOT(ISERROR(A1))</formula>
    </cfRule>
  </conditionalFormatting>
  <conditionalFormatting sqref="B1">
    <cfRule type="notContainsErrors" dxfId="13" priority="2">
      <formula>NOT(ISERROR(B1))</formula>
    </cfRule>
  </conditionalFormatting>
  <conditionalFormatting sqref="C1">
    <cfRule type="notContainsErrors" dxfId="12" priority="3">
      <formula>NOT(ISERROR(C1))</formula>
    </cfRule>
  </conditionalFormatting>
  <dataValidations count="1">
    <dataValidation type="list" allowBlank="1" showInputMessage="1" showErrorMessage="1" sqref="B2:B21" xr:uid="{00000000-0002-0000-0600-000000000000}">
      <formula1>"accucor,isoautocorr,isocorr,unicorr"</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xr:uid="{00000000-0002-0000-0600-000001000000}">
          <x14:formula1>
            <xm:f>Sequences!$A$2:$A$21</xm:f>
          </x14:formula1>
          <xm:sqref>C2:C21</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
  <sheetViews>
    <sheetView workbookViewId="0">
      <selection activeCell="A2" sqref="A2"/>
    </sheetView>
  </sheetViews>
  <sheetFormatPr baseColWidth="10" defaultColWidth="8.83203125" defaultRowHeight="15"/>
  <cols>
    <col min="1" max="1" width="11.6640625" bestFit="1" customWidth="1"/>
    <col min="2" max="2" width="16.83203125" bestFit="1" customWidth="1"/>
    <col min="3" max="3" width="14.83203125" bestFit="1" customWidth="1"/>
    <col min="4" max="4" width="30.1640625" bestFit="1" customWidth="1"/>
    <col min="5" max="5" width="47.5" bestFit="1" customWidth="1"/>
    <col min="6" max="6" width="4.33203125" bestFit="1" customWidth="1"/>
  </cols>
  <sheetData>
    <row r="1" spans="1:6">
      <c r="A1" s="1" t="s">
        <v>54</v>
      </c>
      <c r="B1" s="1" t="s">
        <v>55</v>
      </c>
      <c r="C1" s="1" t="s">
        <v>56</v>
      </c>
      <c r="D1" s="1" t="s">
        <v>57</v>
      </c>
      <c r="E1" s="1" t="s">
        <v>58</v>
      </c>
      <c r="F1" s="1" t="s">
        <v>59</v>
      </c>
    </row>
    <row r="2" spans="1:6">
      <c r="A2" t="s">
        <v>37</v>
      </c>
      <c r="B2" t="s">
        <v>37</v>
      </c>
      <c r="D2" t="s">
        <v>51</v>
      </c>
      <c r="E2" t="s">
        <v>53</v>
      </c>
    </row>
  </sheetData>
  <conditionalFormatting sqref="A1:B1">
    <cfRule type="notContainsErrors" dxfId="11" priority="1">
      <formula>NOT(ISERROR(A1))</formula>
    </cfRule>
  </conditionalFormatting>
  <conditionalFormatting sqref="C1:F1">
    <cfRule type="notContainsErrors" dxfId="10" priority="3">
      <formula>NOT(ISERROR(C1))</formula>
    </cfRule>
  </conditionalFormatting>
  <dataValidations count="1">
    <dataValidation type="list" allowBlank="1" showInputMessage="1" showErrorMessage="1" sqref="F2:F21" xr:uid="{00000000-0002-0000-0700-000003000000}">
      <formula1>",skip"</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xr:uid="{00000000-0002-0000-0700-000000000000}">
          <x14:formula1>
            <xm:f>Samples!$A$2:$A$21</xm:f>
          </x14:formula1>
          <xm:sqref>A2:A21</xm:sqref>
        </x14:dataValidation>
        <x14:dataValidation type="list" allowBlank="1" showInputMessage="1" xr:uid="{00000000-0002-0000-0700-000001000000}">
          <x14:formula1>
            <xm:f>'Peak Annotation Files'!$A$2:$A$21</xm:f>
          </x14:formula1>
          <xm:sqref>D2:D21</xm:sqref>
        </x14:dataValidation>
        <x14:dataValidation type="list" allowBlank="1" showInputMessage="1" xr:uid="{00000000-0002-0000-0700-000002000000}">
          <x14:formula1>
            <xm:f>Sequences!$A$2:$A$21</xm:f>
          </x14:formula1>
          <xm:sqref>E2:E21</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
  <sheetViews>
    <sheetView workbookViewId="0">
      <selection activeCell="A2" sqref="A2"/>
    </sheetView>
  </sheetViews>
  <sheetFormatPr baseColWidth="10" defaultColWidth="8.83203125" defaultRowHeight="15"/>
  <cols>
    <col min="1" max="1" width="18.5" bestFit="1" customWidth="1"/>
    <col min="2" max="2" width="27.5" bestFit="1" customWidth="1"/>
    <col min="3" max="3" width="21.6640625" bestFit="1" customWidth="1"/>
    <col min="4" max="4" width="16.33203125" customWidth="1"/>
    <col min="5" max="5" width="15.33203125" hidden="1" customWidth="1"/>
  </cols>
  <sheetData>
    <row r="1" spans="1:5">
      <c r="A1" s="1" t="s">
        <v>60</v>
      </c>
      <c r="B1" s="1" t="s">
        <v>61</v>
      </c>
      <c r="C1" s="1" t="s">
        <v>62</v>
      </c>
      <c r="D1" s="1" t="s">
        <v>63</v>
      </c>
      <c r="E1" s="1" t="s">
        <v>64</v>
      </c>
    </row>
  </sheetData>
  <conditionalFormatting sqref="A1:E1">
    <cfRule type="notContainsErrors" dxfId="9" priority="1">
      <formula>NOT(ISERROR(A1))</formula>
    </cfRule>
  </conditionalFormatting>
  <dataValidations count="1">
    <dataValidation type="list" allowBlank="1" showInputMessage="1" sqref="B2:B4" xr:uid="{00000000-0002-0000-0800-000000000000}">
      <formula1>"obob_maven_6eaas_serum.xlsx,small_obob_maven_6eaas_serum.xlsx"</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9"/>
  <sheetViews>
    <sheetView tabSelected="1" workbookViewId="0"/>
  </sheetViews>
  <sheetFormatPr baseColWidth="10" defaultColWidth="8.83203125" defaultRowHeight="15"/>
  <cols>
    <col min="1" max="1" width="42.33203125" bestFit="1" customWidth="1"/>
    <col min="2" max="2" width="191.6640625" bestFit="1" customWidth="1"/>
  </cols>
  <sheetData>
    <row r="1" spans="1:2">
      <c r="A1" s="1" t="s">
        <v>65</v>
      </c>
      <c r="B1" s="1" t="s">
        <v>66</v>
      </c>
    </row>
    <row r="2" spans="1:2">
      <c r="A2" t="s">
        <v>67</v>
      </c>
      <c r="B2" t="s">
        <v>84</v>
      </c>
    </row>
    <row r="3" spans="1:2">
      <c r="A3" t="s">
        <v>68</v>
      </c>
      <c r="B3" t="s">
        <v>85</v>
      </c>
    </row>
    <row r="4" spans="1:2">
      <c r="A4" t="s">
        <v>69</v>
      </c>
      <c r="B4" t="s">
        <v>86</v>
      </c>
    </row>
    <row r="5" spans="1:2">
      <c r="A5" t="s">
        <v>70</v>
      </c>
      <c r="B5" t="s">
        <v>87</v>
      </c>
    </row>
    <row r="6" spans="1:2">
      <c r="A6" t="s">
        <v>71</v>
      </c>
      <c r="B6" t="s">
        <v>88</v>
      </c>
    </row>
    <row r="7" spans="1:2">
      <c r="A7" t="s">
        <v>72</v>
      </c>
      <c r="B7" t="s">
        <v>89</v>
      </c>
    </row>
    <row r="8" spans="1:2">
      <c r="A8" t="s">
        <v>73</v>
      </c>
      <c r="B8" t="s">
        <v>90</v>
      </c>
    </row>
    <row r="9" spans="1:2">
      <c r="A9" t="s">
        <v>74</v>
      </c>
      <c r="B9" t="s">
        <v>91</v>
      </c>
    </row>
    <row r="10" spans="1:2">
      <c r="A10" t="s">
        <v>75</v>
      </c>
      <c r="B10" t="s">
        <v>92</v>
      </c>
    </row>
    <row r="11" spans="1:2">
      <c r="A11" t="s">
        <v>76</v>
      </c>
      <c r="B11" t="s">
        <v>93</v>
      </c>
    </row>
    <row r="12" spans="1:2">
      <c r="A12" t="s">
        <v>77</v>
      </c>
      <c r="B12" t="s">
        <v>94</v>
      </c>
    </row>
    <row r="13" spans="1:2">
      <c r="A13" t="s">
        <v>78</v>
      </c>
      <c r="B13" t="s">
        <v>95</v>
      </c>
    </row>
    <row r="14" spans="1:2">
      <c r="A14" t="s">
        <v>79</v>
      </c>
      <c r="B14" t="s">
        <v>218</v>
      </c>
    </row>
    <row r="15" spans="1:2">
      <c r="A15" t="s">
        <v>80</v>
      </c>
      <c r="B15" t="s">
        <v>96</v>
      </c>
    </row>
    <row r="16" spans="1:2">
      <c r="A16" t="s">
        <v>81</v>
      </c>
      <c r="B16" t="s">
        <v>97</v>
      </c>
    </row>
    <row r="17" spans="1:2">
      <c r="A17" t="s">
        <v>82</v>
      </c>
      <c r="B17" t="s">
        <v>98</v>
      </c>
    </row>
    <row r="18" spans="1:2">
      <c r="A18" t="s">
        <v>83</v>
      </c>
      <c r="B18" t="s">
        <v>99</v>
      </c>
    </row>
    <row r="19" spans="1:2">
      <c r="A19" t="s">
        <v>214</v>
      </c>
      <c r="B19" s="4" t="s">
        <v>220</v>
      </c>
    </row>
  </sheetData>
  <conditionalFormatting sqref="A1">
    <cfRule type="notContainsErrors" dxfId="8" priority="1">
      <formula>NOT(ISERROR(A1))</formula>
    </cfRule>
  </conditionalFormatting>
  <conditionalFormatting sqref="B1">
    <cfRule type="notContainsErrors" dxfId="7" priority="2">
      <formula>NOT(ISERROR(B1))</formula>
    </cfRule>
  </conditionalFormatting>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46"/>
  <sheetViews>
    <sheetView workbookViewId="0">
      <selection activeCell="B5" sqref="B5"/>
    </sheetView>
  </sheetViews>
  <sheetFormatPr baseColWidth="10" defaultColWidth="8.83203125" defaultRowHeight="15"/>
  <cols>
    <col min="1" max="1" width="34.6640625" bestFit="1" customWidth="1"/>
    <col min="2" max="2" width="60.1640625" bestFit="1" customWidth="1"/>
  </cols>
  <sheetData>
    <row r="1" spans="1:2">
      <c r="A1" s="1" t="s">
        <v>34</v>
      </c>
      <c r="B1" s="1" t="s">
        <v>1</v>
      </c>
    </row>
    <row r="2" spans="1:2">
      <c r="A2" t="s">
        <v>100</v>
      </c>
      <c r="B2" t="s">
        <v>145</v>
      </c>
    </row>
    <row r="3" spans="1:2">
      <c r="A3" t="s">
        <v>101</v>
      </c>
      <c r="B3" t="s">
        <v>146</v>
      </c>
    </row>
    <row r="4" spans="1:2">
      <c r="A4" t="s">
        <v>102</v>
      </c>
      <c r="B4" t="s">
        <v>147</v>
      </c>
    </row>
    <row r="5" spans="1:2">
      <c r="A5" t="s">
        <v>103</v>
      </c>
      <c r="B5" t="s">
        <v>148</v>
      </c>
    </row>
    <row r="6" spans="1:2">
      <c r="A6" t="s">
        <v>104</v>
      </c>
      <c r="B6" t="s">
        <v>104</v>
      </c>
    </row>
    <row r="7" spans="1:2">
      <c r="A7" t="s">
        <v>105</v>
      </c>
      <c r="B7" t="s">
        <v>149</v>
      </c>
    </row>
    <row r="8" spans="1:2">
      <c r="A8" t="s">
        <v>106</v>
      </c>
      <c r="B8" t="s">
        <v>106</v>
      </c>
    </row>
    <row r="9" spans="1:2">
      <c r="A9" t="s">
        <v>107</v>
      </c>
      <c r="B9" t="s">
        <v>150</v>
      </c>
    </row>
    <row r="10" spans="1:2">
      <c r="A10" t="s">
        <v>108</v>
      </c>
      <c r="B10" t="s">
        <v>151</v>
      </c>
    </row>
    <row r="11" spans="1:2">
      <c r="A11" t="s">
        <v>109</v>
      </c>
      <c r="B11" t="s">
        <v>109</v>
      </c>
    </row>
    <row r="12" spans="1:2">
      <c r="A12" t="s">
        <v>110</v>
      </c>
      <c r="B12" t="s">
        <v>152</v>
      </c>
    </row>
    <row r="13" spans="1:2">
      <c r="A13" t="s">
        <v>111</v>
      </c>
      <c r="B13" t="s">
        <v>111</v>
      </c>
    </row>
    <row r="14" spans="1:2">
      <c r="A14" t="s">
        <v>112</v>
      </c>
      <c r="B14" t="s">
        <v>153</v>
      </c>
    </row>
    <row r="15" spans="1:2">
      <c r="A15" t="s">
        <v>113</v>
      </c>
      <c r="B15" t="s">
        <v>154</v>
      </c>
    </row>
    <row r="16" spans="1:2">
      <c r="A16" t="s">
        <v>114</v>
      </c>
      <c r="B16" t="s">
        <v>114</v>
      </c>
    </row>
    <row r="17" spans="1:2">
      <c r="A17" t="s">
        <v>115</v>
      </c>
      <c r="B17" t="s">
        <v>115</v>
      </c>
    </row>
    <row r="18" spans="1:2">
      <c r="A18" t="s">
        <v>116</v>
      </c>
      <c r="B18" t="s">
        <v>116</v>
      </c>
    </row>
    <row r="19" spans="1:2">
      <c r="A19" t="s">
        <v>117</v>
      </c>
      <c r="B19" t="s">
        <v>155</v>
      </c>
    </row>
    <row r="20" spans="1:2">
      <c r="A20" t="s">
        <v>118</v>
      </c>
      <c r="B20" t="s">
        <v>118</v>
      </c>
    </row>
    <row r="21" spans="1:2">
      <c r="A21" t="s">
        <v>119</v>
      </c>
      <c r="B21" t="s">
        <v>119</v>
      </c>
    </row>
    <row r="22" spans="1:2">
      <c r="A22" t="s">
        <v>120</v>
      </c>
      <c r="B22" t="s">
        <v>120</v>
      </c>
    </row>
    <row r="23" spans="1:2">
      <c r="A23" t="s">
        <v>121</v>
      </c>
      <c r="B23" t="s">
        <v>156</v>
      </c>
    </row>
    <row r="24" spans="1:2">
      <c r="A24" t="s">
        <v>122</v>
      </c>
      <c r="B24" t="s">
        <v>157</v>
      </c>
    </row>
    <row r="25" spans="1:2">
      <c r="A25" t="s">
        <v>123</v>
      </c>
      <c r="B25" t="s">
        <v>158</v>
      </c>
    </row>
    <row r="26" spans="1:2">
      <c r="A26" t="s">
        <v>124</v>
      </c>
      <c r="B26" t="s">
        <v>159</v>
      </c>
    </row>
    <row r="27" spans="1:2">
      <c r="A27" t="s">
        <v>125</v>
      </c>
      <c r="B27" t="s">
        <v>160</v>
      </c>
    </row>
    <row r="28" spans="1:2">
      <c r="A28" t="s">
        <v>126</v>
      </c>
      <c r="B28" t="s">
        <v>161</v>
      </c>
    </row>
    <row r="29" spans="1:2">
      <c r="A29" t="s">
        <v>127</v>
      </c>
      <c r="B29" t="s">
        <v>162</v>
      </c>
    </row>
    <row r="30" spans="1:2">
      <c r="A30" t="s">
        <v>128</v>
      </c>
      <c r="B30" t="s">
        <v>163</v>
      </c>
    </row>
    <row r="31" spans="1:2">
      <c r="A31" t="s">
        <v>129</v>
      </c>
      <c r="B31" t="s">
        <v>164</v>
      </c>
    </row>
    <row r="32" spans="1:2">
      <c r="A32" t="s">
        <v>130</v>
      </c>
      <c r="B32" t="s">
        <v>165</v>
      </c>
    </row>
    <row r="33" spans="1:2">
      <c r="A33" t="s">
        <v>131</v>
      </c>
      <c r="B33" t="s">
        <v>131</v>
      </c>
    </row>
    <row r="34" spans="1:2">
      <c r="A34" t="s">
        <v>132</v>
      </c>
      <c r="B34" t="s">
        <v>132</v>
      </c>
    </row>
    <row r="35" spans="1:2">
      <c r="A35" t="s">
        <v>133</v>
      </c>
      <c r="B35" t="s">
        <v>133</v>
      </c>
    </row>
    <row r="36" spans="1:2">
      <c r="A36" t="s">
        <v>134</v>
      </c>
      <c r="B36" t="s">
        <v>134</v>
      </c>
    </row>
    <row r="37" spans="1:2">
      <c r="A37" t="s">
        <v>135</v>
      </c>
      <c r="B37" t="s">
        <v>135</v>
      </c>
    </row>
    <row r="38" spans="1:2">
      <c r="A38" t="s">
        <v>136</v>
      </c>
      <c r="B38" t="s">
        <v>166</v>
      </c>
    </row>
    <row r="39" spans="1:2">
      <c r="A39" t="s">
        <v>137</v>
      </c>
      <c r="B39" t="s">
        <v>167</v>
      </c>
    </row>
    <row r="40" spans="1:2">
      <c r="A40" t="s">
        <v>138</v>
      </c>
      <c r="B40" t="s">
        <v>167</v>
      </c>
    </row>
    <row r="41" spans="1:2">
      <c r="A41" t="s">
        <v>139</v>
      </c>
      <c r="B41" t="s">
        <v>168</v>
      </c>
    </row>
    <row r="42" spans="1:2">
      <c r="A42" t="s">
        <v>140</v>
      </c>
      <c r="B42" t="s">
        <v>140</v>
      </c>
    </row>
    <row r="43" spans="1:2">
      <c r="A43" t="s">
        <v>141</v>
      </c>
      <c r="B43" t="s">
        <v>141</v>
      </c>
    </row>
    <row r="44" spans="1:2">
      <c r="A44" t="s">
        <v>142</v>
      </c>
      <c r="B44" t="s">
        <v>169</v>
      </c>
    </row>
    <row r="45" spans="1:2">
      <c r="A45" t="s">
        <v>143</v>
      </c>
      <c r="B45" t="s">
        <v>170</v>
      </c>
    </row>
    <row r="46" spans="1:2">
      <c r="A46" t="s">
        <v>144</v>
      </c>
      <c r="B46" t="s">
        <v>171</v>
      </c>
    </row>
  </sheetData>
  <conditionalFormatting sqref="A1:B1">
    <cfRule type="notContainsErrors" dxfId="6" priority="1">
      <formula>NOT(ISERROR(A1))</formula>
    </cfRule>
  </conditionalFormatting>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0"/>
  <sheetViews>
    <sheetView workbookViewId="0">
      <selection activeCell="A2" sqref="A2"/>
    </sheetView>
  </sheetViews>
  <sheetFormatPr baseColWidth="10" defaultColWidth="8.83203125" defaultRowHeight="15"/>
  <cols>
    <col min="1" max="1" width="18.5" bestFit="1" customWidth="1"/>
    <col min="2" max="2" width="13" bestFit="1" customWidth="1"/>
    <col min="3" max="3" width="10.6640625" bestFit="1" customWidth="1"/>
    <col min="4" max="4" width="68.6640625" bestFit="1" customWidth="1"/>
  </cols>
  <sheetData>
    <row r="1" spans="1:4">
      <c r="A1" s="1" t="s">
        <v>3</v>
      </c>
      <c r="B1" s="1" t="s">
        <v>172</v>
      </c>
      <c r="C1" s="1" t="s">
        <v>173</v>
      </c>
      <c r="D1" s="1" t="s">
        <v>174</v>
      </c>
    </row>
    <row r="2" spans="1:4">
      <c r="A2" t="s">
        <v>9</v>
      </c>
      <c r="B2" t="s">
        <v>181</v>
      </c>
      <c r="C2" t="s">
        <v>190</v>
      </c>
      <c r="D2" t="s">
        <v>193</v>
      </c>
    </row>
    <row r="3" spans="1:4">
      <c r="A3" t="s">
        <v>10</v>
      </c>
      <c r="B3" t="s">
        <v>182</v>
      </c>
      <c r="C3" t="s">
        <v>191</v>
      </c>
      <c r="D3" t="s">
        <v>194</v>
      </c>
    </row>
    <row r="4" spans="1:4">
      <c r="A4" t="s">
        <v>11</v>
      </c>
      <c r="B4" t="s">
        <v>183</v>
      </c>
      <c r="C4" t="s">
        <v>192</v>
      </c>
      <c r="D4" t="s">
        <v>195</v>
      </c>
    </row>
    <row r="5" spans="1:4">
      <c r="A5" t="s">
        <v>175</v>
      </c>
      <c r="B5" t="s">
        <v>184</v>
      </c>
      <c r="C5" t="s">
        <v>191</v>
      </c>
      <c r="D5" t="s">
        <v>196</v>
      </c>
    </row>
    <row r="6" spans="1:4">
      <c r="A6" t="s">
        <v>176</v>
      </c>
      <c r="B6" t="s">
        <v>185</v>
      </c>
      <c r="C6" t="s">
        <v>190</v>
      </c>
      <c r="D6" t="s">
        <v>176</v>
      </c>
    </row>
    <row r="7" spans="1:4">
      <c r="A7" t="s">
        <v>177</v>
      </c>
      <c r="B7" t="s">
        <v>186</v>
      </c>
      <c r="C7" t="s">
        <v>190</v>
      </c>
      <c r="D7" t="s">
        <v>197</v>
      </c>
    </row>
    <row r="8" spans="1:4">
      <c r="A8" t="s">
        <v>178</v>
      </c>
      <c r="B8" t="s">
        <v>187</v>
      </c>
      <c r="C8" t="s">
        <v>190</v>
      </c>
      <c r="D8" t="s">
        <v>178</v>
      </c>
    </row>
    <row r="9" spans="1:4">
      <c r="A9" t="s">
        <v>179</v>
      </c>
      <c r="B9" t="s">
        <v>188</v>
      </c>
      <c r="C9" t="s">
        <v>190</v>
      </c>
      <c r="D9" t="s">
        <v>198</v>
      </c>
    </row>
    <row r="10" spans="1:4">
      <c r="A10" t="s">
        <v>180</v>
      </c>
      <c r="B10" t="s">
        <v>189</v>
      </c>
      <c r="C10" t="s">
        <v>190</v>
      </c>
      <c r="D10" t="s">
        <v>199</v>
      </c>
    </row>
  </sheetData>
  <conditionalFormatting sqref="A1:C1">
    <cfRule type="notContainsErrors" dxfId="5" priority="1">
      <formula>NOT(ISERROR(A1))</formula>
    </cfRule>
  </conditionalFormatting>
  <conditionalFormatting sqref="D1">
    <cfRule type="notContainsErrors" dxfId="4" priority="4">
      <formula>NOT(ISERROR(D1))</formula>
    </cfRule>
  </conditionalFormatting>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26"/>
  <sheetViews>
    <sheetView workbookViewId="0">
      <selection activeCell="A2" sqref="A2"/>
    </sheetView>
  </sheetViews>
  <sheetFormatPr baseColWidth="10" defaultColWidth="8.83203125" defaultRowHeight="15"/>
  <cols>
    <col min="1" max="1" width="37.5" style="2" bestFit="1" customWidth="1"/>
    <col min="2" max="2" width="30.5" bestFit="1" customWidth="1"/>
    <col min="3" max="3" width="10.83203125" bestFit="1" customWidth="1"/>
    <col min="4" max="4" width="255.6640625" bestFit="1" customWidth="1"/>
  </cols>
  <sheetData>
    <row r="1" spans="1:4">
      <c r="A1" s="1" t="s">
        <v>0</v>
      </c>
      <c r="B1" s="1" t="s">
        <v>200</v>
      </c>
      <c r="C1" s="1" t="s">
        <v>201</v>
      </c>
      <c r="D1" s="1" t="s">
        <v>1</v>
      </c>
    </row>
    <row r="2" spans="1:4">
      <c r="A2" s="2" t="s">
        <v>202</v>
      </c>
      <c r="B2" t="s">
        <v>205</v>
      </c>
      <c r="C2">
        <v>25</v>
      </c>
      <c r="D2" t="s">
        <v>209</v>
      </c>
    </row>
    <row r="3" spans="1:4">
      <c r="A3" s="2" t="s">
        <v>45</v>
      </c>
      <c r="B3" t="s">
        <v>206</v>
      </c>
      <c r="C3">
        <v>25</v>
      </c>
      <c r="D3" t="s">
        <v>210</v>
      </c>
    </row>
    <row r="4" spans="1:4">
      <c r="A4" s="2" t="s">
        <v>203</v>
      </c>
      <c r="B4" t="s">
        <v>207</v>
      </c>
      <c r="C4">
        <v>25</v>
      </c>
      <c r="D4" t="s">
        <v>211</v>
      </c>
    </row>
    <row r="5" spans="1:4">
      <c r="A5" s="2" t="s">
        <v>204</v>
      </c>
      <c r="B5" t="s">
        <v>208</v>
      </c>
      <c r="C5">
        <v>25</v>
      </c>
      <c r="D5" t="s">
        <v>212</v>
      </c>
    </row>
    <row r="6" spans="1:4">
      <c r="A6" s="2" t="s">
        <v>46</v>
      </c>
      <c r="B6" t="s">
        <v>46</v>
      </c>
      <c r="D6" t="s">
        <v>213</v>
      </c>
    </row>
    <row r="7" spans="1:4">
      <c r="A7" s="2" t="str">
        <f t="shared" ref="A7:A26" ca="1" si="0">IF(OR(ISBLANK(INDIRECT("B" &amp; ROW())),ISBLANK(INDIRECT("C" &amp; ROW()))),"",CONCATENATE(INDIRECT("B" &amp; ROW()),"-",INDIRECT("C" &amp; ROW()),"-min"))</f>
        <v/>
      </c>
    </row>
    <row r="8" spans="1:4">
      <c r="A8" s="2" t="str">
        <f t="shared" ca="1" si="0"/>
        <v/>
      </c>
    </row>
    <row r="9" spans="1:4">
      <c r="A9" s="2" t="str">
        <f t="shared" ca="1" si="0"/>
        <v/>
      </c>
    </row>
    <row r="10" spans="1:4">
      <c r="A10" s="2" t="str">
        <f t="shared" ca="1" si="0"/>
        <v/>
      </c>
    </row>
    <row r="11" spans="1:4">
      <c r="A11" s="2" t="str">
        <f t="shared" ca="1" si="0"/>
        <v/>
      </c>
    </row>
    <row r="12" spans="1:4">
      <c r="A12" s="2" t="str">
        <f t="shared" ca="1" si="0"/>
        <v/>
      </c>
    </row>
    <row r="13" spans="1:4">
      <c r="A13" s="2" t="str">
        <f t="shared" ca="1" si="0"/>
        <v/>
      </c>
    </row>
    <row r="14" spans="1:4">
      <c r="A14" s="2" t="str">
        <f t="shared" ca="1" si="0"/>
        <v/>
      </c>
    </row>
    <row r="15" spans="1:4">
      <c r="A15" s="2" t="str">
        <f t="shared" ca="1" si="0"/>
        <v/>
      </c>
    </row>
    <row r="16" spans="1:4">
      <c r="A16" s="2" t="str">
        <f t="shared" ca="1" si="0"/>
        <v/>
      </c>
    </row>
    <row r="17" spans="1:1">
      <c r="A17" s="2" t="str">
        <f t="shared" ca="1" si="0"/>
        <v/>
      </c>
    </row>
    <row r="18" spans="1:1">
      <c r="A18" s="2" t="str">
        <f t="shared" ca="1" si="0"/>
        <v/>
      </c>
    </row>
    <row r="19" spans="1:1">
      <c r="A19" s="2" t="str">
        <f t="shared" ca="1" si="0"/>
        <v/>
      </c>
    </row>
    <row r="20" spans="1:1">
      <c r="A20" s="2" t="str">
        <f t="shared" ca="1" si="0"/>
        <v/>
      </c>
    </row>
    <row r="21" spans="1:1">
      <c r="A21" s="2" t="str">
        <f t="shared" ca="1" si="0"/>
        <v/>
      </c>
    </row>
    <row r="22" spans="1:1">
      <c r="A22" s="2" t="str">
        <f t="shared" ca="1" si="0"/>
        <v/>
      </c>
    </row>
    <row r="23" spans="1:1">
      <c r="A23" s="2" t="str">
        <f t="shared" ca="1" si="0"/>
        <v/>
      </c>
    </row>
    <row r="24" spans="1:1">
      <c r="A24" s="2" t="str">
        <f t="shared" ca="1" si="0"/>
        <v/>
      </c>
    </row>
    <row r="25" spans="1:1">
      <c r="A25" s="2" t="str">
        <f t="shared" ca="1" si="0"/>
        <v/>
      </c>
    </row>
    <row r="26" spans="1:1">
      <c r="A26" s="2" t="str">
        <f t="shared" ca="1" si="0"/>
        <v/>
      </c>
    </row>
  </sheetData>
  <conditionalFormatting sqref="A1">
    <cfRule type="notContainsErrors" dxfId="3" priority="1">
      <formula>NOT(ISERROR(A1))</formula>
    </cfRule>
  </conditionalFormatting>
  <conditionalFormatting sqref="B1">
    <cfRule type="notContainsErrors" dxfId="2" priority="2">
      <formula>NOT(ISERROR(B1))</formula>
    </cfRule>
  </conditionalFormatting>
  <conditionalFormatting sqref="C1">
    <cfRule type="notContainsErrors" dxfId="1" priority="3">
      <formula>NOT(ISERROR(C1))</formula>
    </cfRule>
  </conditionalFormatting>
  <conditionalFormatting sqref="D1">
    <cfRule type="notContainsErrors" dxfId="0" priority="4">
      <formula>NOT(ISERROR(D1))</formula>
    </cfRule>
  </conditionalFormatting>
  <dataValidations count="2">
    <dataValidation type="list" allowBlank="1" showInputMessage="1" sqref="B2:B25" xr:uid="{00000000-0002-0000-0C00-000000000000}">
      <formula1>"lipid-reversed-phase,polar-HILIC,polar-reversed-phase,polar-reversed-phase-ion-pairing,unknown"</formula1>
    </dataValidation>
    <dataValidation type="list" allowBlank="1" showInputMessage="1" sqref="C2:C25" xr:uid="{00000000-0002-0000-0C00-000001000000}">
      <formula1>"25.0"</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Study</vt:lpstr>
      <vt:lpstr>Tracers</vt:lpstr>
      <vt:lpstr>Infusates</vt:lpstr>
      <vt:lpstr>Animals</vt:lpstr>
      <vt:lpstr>Samples</vt:lpstr>
      <vt:lpstr>Sequences</vt:lpstr>
      <vt:lpstr>Peak Annotation Files</vt:lpstr>
      <vt:lpstr>Peak Annotation Details</vt:lpstr>
      <vt:lpstr>Peak Group Conflicts</vt:lpstr>
      <vt:lpstr>Treatments</vt:lpstr>
      <vt:lpstr>Tissues</vt:lpstr>
      <vt:lpstr>Compounds</vt:lpstr>
      <vt:lpstr>LC Protocols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Robert W. Leach</cp:lastModifiedBy>
  <dcterms:created xsi:type="dcterms:W3CDTF">2025-01-08T16:21:53Z</dcterms:created>
  <dcterms:modified xsi:type="dcterms:W3CDTF">2026-02-09T12:24:09Z</dcterms:modified>
</cp:coreProperties>
</file>