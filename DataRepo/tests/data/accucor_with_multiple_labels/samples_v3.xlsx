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rleach/PROJECT-local/TRACEBASE/tracebase/DataRepo/tests/data/accucor_with_multiple_labels/"/>
    </mc:Choice>
  </mc:AlternateContent>
  <xr:revisionPtr revIDLastSave="0" documentId="13_ncr:1_{60DD63D8-203A-5D4B-8C2F-9CA2F698FFD9}" xr6:coauthVersionLast="47" xr6:coauthVersionMax="47" xr10:uidLastSave="{00000000-0000-0000-0000-000000000000}"/>
  <bookViews>
    <workbookView xWindow="12500" yWindow="5260" windowWidth="31280" windowHeight="14260" activeTab="7" xr2:uid="{00000000-000D-0000-FFFF-FFFF00000000}"/>
  </bookViews>
  <sheets>
    <sheet name="Study" sheetId="1" r:id="rId1"/>
    <sheet name="Tracers" sheetId="2" r:id="rId2"/>
    <sheet name="Infusates" sheetId="3" r:id="rId3"/>
    <sheet name="Animals" sheetId="4" r:id="rId4"/>
    <sheet name="Samples" sheetId="5" r:id="rId5"/>
    <sheet name="Sequences" sheetId="6" r:id="rId6"/>
    <sheet name="Peak Annotation Files" sheetId="7" r:id="rId7"/>
    <sheet name="Peak Annotation Details" sheetId="8" r:id="rId8"/>
    <sheet name="Peak Group Conflicts" sheetId="9" state="hidden" r:id="rId9"/>
    <sheet name="Treatments" sheetId="10" r:id="rId10"/>
    <sheet name="Tissues" sheetId="11" r:id="rId11"/>
    <sheet name="Compounds" sheetId="12" r:id="rId12"/>
    <sheet name="LC Protocol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A19" i="13"/>
  <c r="E19" i="3" a="1"/>
  <c r="A15" i="6"/>
  <c r="A23" i="13"/>
  <c r="A6" i="6"/>
  <c r="A9" i="13"/>
  <c r="A14" i="6"/>
  <c r="A10" i="13"/>
  <c r="A22" i="6"/>
  <c r="G13" i="2" a="1"/>
  <c r="E29" i="3" a="1"/>
  <c r="G26" i="2" a="1"/>
  <c r="A8" i="13"/>
  <c r="G30" i="2" a="1"/>
  <c r="G21" i="2" a="1"/>
  <c r="E34" i="3" a="1"/>
  <c r="A13" i="13"/>
  <c r="E26" i="3" a="1"/>
  <c r="G18" i="2" a="1"/>
  <c r="A7" i="6"/>
  <c r="A15" i="13"/>
  <c r="G31" i="2" a="1"/>
  <c r="E31" i="3" a="1"/>
  <c r="A18" i="6"/>
  <c r="G29" i="2" a="1"/>
  <c r="A12" i="6"/>
  <c r="A16" i="6"/>
  <c r="A10" i="6"/>
  <c r="A25" i="13"/>
  <c r="A20" i="6"/>
  <c r="G24" i="2" a="1"/>
  <c r="A13" i="6"/>
  <c r="E25" i="3" a="1"/>
  <c r="A26" i="13"/>
  <c r="G15" i="2" a="1"/>
  <c r="G28" i="2" a="1"/>
  <c r="A18" i="13"/>
  <c r="E33" i="3" a="1"/>
  <c r="A3" i="6"/>
  <c r="A21" i="13"/>
  <c r="E30" i="3" a="1"/>
  <c r="A14" i="13"/>
  <c r="A17" i="13"/>
  <c r="G16" i="2" a="1"/>
  <c r="G14" i="2" a="1"/>
  <c r="E17" i="3" a="1"/>
  <c r="A7" i="13"/>
  <c r="A8" i="6"/>
  <c r="A4" i="6"/>
  <c r="G17" i="2" a="1"/>
  <c r="A24" i="13"/>
  <c r="E22" i="3" a="1"/>
  <c r="E24" i="3" a="1"/>
  <c r="G19" i="2" a="1"/>
  <c r="G23" i="2" a="1"/>
  <c r="A12" i="13"/>
  <c r="A21" i="6"/>
  <c r="G22" i="2" a="1"/>
  <c r="A22" i="13"/>
  <c r="E32" i="3" a="1"/>
  <c r="E28" i="3" a="1"/>
  <c r="A5" i="6"/>
  <c r="A16" i="13"/>
  <c r="E18" i="3" a="1"/>
  <c r="G25" i="2" a="1"/>
  <c r="A11" i="13"/>
  <c r="A17" i="6"/>
  <c r="E23" i="3" a="1"/>
  <c r="A9" i="6"/>
  <c r="E21" i="3" a="1"/>
  <c r="G12" i="2" a="1"/>
  <c r="E27" i="3" a="1"/>
  <c r="G20" i="2" a="1"/>
  <c r="E16" i="3" a="1"/>
  <c r="A20" i="13"/>
  <c r="E35" i="3" a="1"/>
  <c r="A11" i="6"/>
  <c r="E20" i="3" a="1"/>
  <c r="G27" i="2" a="1"/>
  <c r="A19" i="6"/>
  <c r="G27" i="2" l="1"/>
  <c r="E20" i="3"/>
  <c r="E35" i="3"/>
  <c r="E16" i="3"/>
  <c r="G20" i="2"/>
  <c r="E27" i="3"/>
  <c r="G12" i="2"/>
  <c r="E21" i="3"/>
  <c r="E23" i="3"/>
  <c r="G25" i="2"/>
  <c r="E18" i="3"/>
  <c r="E28" i="3"/>
  <c r="E32" i="3"/>
  <c r="G22" i="2"/>
  <c r="G23" i="2"/>
  <c r="G19" i="2"/>
  <c r="E24" i="3"/>
  <c r="E22" i="3"/>
  <c r="G17" i="2"/>
  <c r="E17" i="3"/>
  <c r="G14" i="2"/>
  <c r="G16" i="2"/>
  <c r="E30" i="3"/>
  <c r="E33" i="3"/>
  <c r="G28" i="2"/>
  <c r="G15" i="2"/>
  <c r="E25" i="3"/>
  <c r="G24" i="2"/>
  <c r="G29" i="2"/>
  <c r="E31" i="3"/>
  <c r="G31" i="2"/>
  <c r="G18" i="2"/>
  <c r="E26" i="3"/>
  <c r="E34" i="3"/>
  <c r="G21" i="2"/>
  <c r="G30" i="2"/>
  <c r="G26" i="2"/>
  <c r="E29" i="3"/>
  <c r="G13" i="2"/>
  <c r="E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000-000001000000}">
      <text>
        <r>
          <rPr>
            <sz val="10"/>
            <color indexed="81"/>
            <rFont val="Courier"/>
            <family val="2"/>
          </rPr>
          <t>A succinct name for the study, which is a collection of one or more series of
animals and their associated data.
Must be unique.
Required.</t>
        </r>
      </text>
    </comment>
    <comment ref="B1" authorId="0" shapeId="0" xr:uid="{00000000-0006-0000-0000-000002000000}">
      <text>
        <r>
          <rPr>
            <sz val="10"/>
            <color indexed="81"/>
            <rFont val="Courier"/>
            <family val="2"/>
          </rPr>
          <t>A long form description for the study which may include the experimental design
process, citations, and other relevant details.
The values in this column are referenced by the 'Study' column in the 'Animals'
sheet.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100-00000100000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0000000-0006-0000-0100-000002000000}">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00000000-0006-0000-0100-000003000000}">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00000000-0006-0000-0100-000004000000}">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00000000-0006-0000-0100-000005000000}">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00000000-0006-0000-0100-000006000000}">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00000000-0006-0000-0100-000007000000}">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200-000001000000}">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00000000-0006-0000-0200-000002000000}">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- 6EAAs (MFWKHT)
- BCAAs_13C
- BCAAs (VLI)
- KLI
Optional.</t>
        </r>
      </text>
    </comment>
    <comment ref="C1" authorId="0" shapeId="0" xr:uid="{00000000-0006-0000-0200-000003000000}">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00000000-0006-0000-0200-000004000000}">
      <text>
        <r>
          <rPr>
            <sz val="10"/>
            <color indexed="81"/>
            <rFont val="Courier"/>
            <family val="2"/>
          </rPr>
          <t>The millimolar concentration of the tracer in a specific infusate 'recipe' (mM).
Required.</t>
        </r>
      </text>
    </comment>
    <comment ref="E1" authorId="0" shapeId="0" xr:uid="{00000000-0006-0000-0200-000005000000}">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300-000001000000}">
      <text>
        <r>
          <rPr>
            <sz val="10"/>
            <color indexed="81"/>
            <rFont val="Courier"/>
            <family val="2"/>
          </rPr>
          <t>A unique name or lab identifier of the source animal for a series of studied
samples.
The values in this column are referenced by the 'Sample' column in the 'Samples'
sheet.
Must be unique.
Required.</t>
        </r>
      </text>
    </comment>
    <comment ref="B1" authorId="0" shapeId="0" xr:uid="{00000000-0006-0000-0300-000002000000}">
      <text>
        <r>
          <rPr>
            <sz val="10"/>
            <color indexed="81"/>
            <rFont val="Courier"/>
            <family val="2"/>
          </rPr>
          <t>The age of the animal at the time of sample collection.
Units: weeks (integer or decimal).
Optional.</t>
        </r>
      </text>
    </comment>
    <comment ref="C1" authorId="0" shapeId="0" xr:uid="{00000000-0006-0000-0300-000003000000}">
      <text>
        <r>
          <rPr>
            <sz val="10"/>
            <color indexed="81"/>
            <rFont val="Courier"/>
            <family val="2"/>
          </rPr>
          <t>The sex of the animal ("male" or "female").
Select a 'Sex' from the dropdowns in this column.  Valid values are:
- F
- M
Optional.</t>
        </r>
      </text>
    </comment>
    <comment ref="D1" authorId="0" shapeId="0" xr:uid="{00000000-0006-0000-0300-000004000000}">
      <text>
        <r>
          <rPr>
            <sz val="10"/>
            <color indexed="81"/>
            <rFont val="Courier"/>
            <family val="2"/>
          </rPr>
          <t>The laboratory standardized genotype of the animal.
Select a 'Genotype' from the dropdowns in this column.  Valid values are:
- alb-/-
- C57BL/6
- C57BL/6J
- ob/ob
- THMYCN (het)
- WT
- WT C57BL/6N with Flank KPC tumor
Required.</t>
        </r>
      </text>
    </comment>
    <comment ref="E1" authorId="0" shapeId="0" xr:uid="{00000000-0006-0000-0300-000005000000}">
      <text>
        <r>
          <rPr>
            <sz val="10"/>
            <color indexed="81"/>
            <rFont val="Courier"/>
            <family val="2"/>
          </rPr>
          <t>The weight (in grams) of the animal at the time of sample collection.
Units: grams.
Optional.</t>
        </r>
      </text>
    </comment>
    <comment ref="F1" authorId="0" shapeId="0" xr:uid="{00000000-0006-0000-0300-000006000000}">
      <text>
        <r>
          <rPr>
            <sz val="10"/>
            <color indexed="81"/>
            <rFont val="Courier"/>
            <family val="2"/>
          </rPr>
          <t>The solution infused into the animal containing 1 or more tracer compounds at
specific concentrations.
Select a 'Infusate' from the dropdowns in this column.  The dropdowns are
populated by the 'Infusate Name' column in the 'Infusates' sheet, so if the
dropdowns are empty, add rows to the 'Infusates' sheet.
Optional.</t>
        </r>
      </text>
    </comment>
    <comment ref="G1" authorId="0" shapeId="0" xr:uid="{00000000-0006-0000-0300-000007000000}">
      <text>
        <r>
          <rPr>
            <sz val="10"/>
            <color indexed="81"/>
            <rFont val="Courier"/>
            <family val="2"/>
          </rPr>
          <t>The rate of infusion of the tracer solution in microliters/min/gram of body
weight of the animal (ul/min/g).
Units: ul/min/g (microliters/min/gram)
Optional.</t>
        </r>
      </text>
    </comment>
    <comment ref="H1" authorId="0" shapeId="0" xr:uid="{00000000-0006-0000-0300-000008000000}">
      <text>
        <r>
          <rPr>
            <sz val="10"/>
            <color indexed="81"/>
            <rFont val="Courier"/>
            <family val="2"/>
          </rPr>
          <t>The feeding descriptor for the animal [e.g. "LabDiet Rodent 5001"].
Select a 'Diet' from the dropdowns in this column.  Valid values are:
- Keto diet bioserv S3666
- LabDiet 5001
- LabDiet 5010
- LabDiet #5053
- LabDiet Rodent 5001
- PicoLab Rodent 20 5053
- PicoLab Rodent 20 5054
- PicoLab Rodent 20 5055
- PicoLab Rodent 20 5056
- TestDiet 5B62_Ser/Gly-Free
- TestDiet 5WTV_Purified Amino Acid Control Diet
- Unknown ID_ResearchDiets 10% protein defined
Optional.</t>
        </r>
      </text>
    </comment>
    <comment ref="I1" authorId="0" shapeId="0" xr:uid="{00000000-0006-0000-0300-000009000000}">
      <text>
        <r>
          <rPr>
            <sz val="10"/>
            <color indexed="81"/>
            <rFont val="Courier"/>
            <family val="2"/>
          </rPr>
          <t>The laboratory coded dietary state for the animal, also referred to as "Animal
State" (e.g. "fasted").
Note that the drop-downs are populated by existing values in the database, to
encourage consistency.  You may add new values.
Select a 'Feeding Status' from the dropdowns in this column.  Valid values are:
- fasted
- fed
- refed
Optional.</t>
        </r>
      </text>
    </comment>
    <comment ref="J1" authorId="0" shapeId="0" xr:uid="{00000000-0006-0000-0300-00000A000000}">
      <text>
        <r>
          <rPr>
            <sz val="10"/>
            <color indexed="81"/>
            <rFont val="Courier"/>
            <family val="2"/>
          </rPr>
          <t>The laboratory controlled label of the actions taken on an animal.
Select a 'Treatment' from the dropdowns in this column.  The dropdowns are
populated by the 'Animal Treatment' column in the 'Treatments' sheet, so if the
dropdowns are empty, add rows to the 'Treatments' sheet.
Optional.</t>
        </r>
      </text>
    </comment>
    <comment ref="K1" authorId="0" shapeId="0" xr:uid="{00000000-0006-0000-0300-00000B000000}">
      <text>
        <r>
          <rPr>
            <sz val="10"/>
            <color indexed="81"/>
            <rFont val="Courier"/>
            <family val="2"/>
          </rPr>
          <t>The experimental study(ies) the the animal is associated with.
Note that an animal can belong to multiple studies.  As such, this is a
delimited field.  Multiple Study records can be entered using the delimiter:
';', but the dropdowns only work for individual studies, thus multiple studies
must be manually entered.
Select a 'Study' from the dropdowns in this column.  The dropdowns are populated
by the 'Name' column in the 'Study' sheet, so if the dropdowns are empty, add
rows to the 'Study' sheet.
Required.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400-000001000000}">
      <text>
        <r>
          <rPr>
            <sz val="10"/>
            <color indexed="81"/>
            <rFont val="Courier"/>
            <family val="2"/>
          </rPr>
          <t>The unique name of the biological sample.
The values in this column are referenced by the 'Sample Name' column in the
'Peak Annotation Details' sheet.
Must be unique.
Required.</t>
        </r>
      </text>
    </comment>
    <comment ref="B1" authorId="0" shapeId="0" xr:uid="{00000000-0006-0000-0400-000002000000}">
      <text>
        <r>
          <rPr>
            <sz val="10"/>
            <color indexed="81"/>
            <rFont val="Courier"/>
            <family val="2"/>
          </rPr>
          <t>The date the sample was collected.
Format: YYYY-MM-DD.
Required.</t>
        </r>
      </text>
    </comment>
    <comment ref="C1" authorId="0" shapeId="0" xr:uid="{00000000-0006-0000-0400-000003000000}">
      <text>
        <r>
          <rPr>
            <sz val="10"/>
            <color indexed="81"/>
            <rFont val="Courier"/>
            <family val="2"/>
          </rPr>
          <t>The name of the researcher who prepared the sample (e.g. "Alex Medina").
Select a 'Researcher Name' from the dropdowns in this column.  Valid values are:
- Asael Roichman
- Caroline Bartman
- Connor Jankowski
- Jenna AbuSalim
- Lingfan Liang
- Marc Bornstein
- Matthew McBride
- Michael Neinast
- Sheng Hui
- Tara TeSlaa
- Won Dong Lee
- Xianfeng Zeng
- Zhaoyue Zhang
- Zihong Chen
Required.</t>
        </r>
      </text>
    </comment>
    <comment ref="D1" authorId="0" shapeId="0" xr:uid="{00000000-0006-0000-0400-000004000000}">
      <text>
        <r>
          <rPr>
            <sz val="10"/>
            <color indexed="81"/>
            <rFont val="Courier"/>
            <family val="2"/>
          </rPr>
          <t>The tissue type this sample was taken from.
Select a 'Tissue' from the dropdowns in this column.  The dropdowns are
populated by the 'Tissue' column in the 'Tissues' sheet, so if the dropdowns are
empty, add rows to the 'Tissues' sheet.
Required.</t>
        </r>
      </text>
    </comment>
    <comment ref="E1" authorId="0" shapeId="0" xr:uid="{00000000-0006-0000-0400-000005000000}">
      <text>
        <r>
          <rPr>
            <sz val="10"/>
            <color indexed="81"/>
            <rFont val="Courier"/>
            <family val="2"/>
          </rPr>
          <t>The time, relative to an infusion timepoint, that a sample was extracted from an
animal.
Units: minutes.
Optional.</t>
        </r>
      </text>
    </comment>
    <comment ref="F1" authorId="0" shapeId="0" xr:uid="{00000000-0006-0000-0400-000006000000}">
      <text>
        <r>
          <rPr>
            <sz val="10"/>
            <color indexed="81"/>
            <rFont val="Courier"/>
            <family val="2"/>
          </rPr>
          <t>The source animal from which the sample was extracted.
Select a 'Animal' from the dropdowns in this column.  The dropdowns are
populated by the 'Animal Name' column in the 'Animals' sheet, so if the
dropdowns are empty, add rows to the 'Animals' sheet.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500-000001000000}">
      <text>
        <r>
          <rPr>
            <sz val="10"/>
            <color indexed="81"/>
            <rFont val="Courier"/>
            <family val="2"/>
          </rPr>
          <t>Readonly.  (Calculated by formula.)
A unique MS Run (Sequence) identifier.
Note that an MS Run Sequence is unique to a researcher, protocol, instrument
(model), and date.  If a researcher performs multiple such Mass Spec Runs on the
same day, this MS Run Sequence record will represent multiple runs.
Comma-delimited string combining the values from these columns in this order:
- Operator
- LC Protocol Name
- Instrument
- Date
The values in this column are referenced by the 'Default Sequence' column in the
'Peak Annotation Files' sheet.
Required.</t>
        </r>
      </text>
    </comment>
    <comment ref="B1" authorId="0" shapeId="0" xr:uid="{00000000-0006-0000-0500-000002000000}">
      <text>
        <r>
          <rPr>
            <sz val="10"/>
            <color indexed="81"/>
            <rFont val="Courier"/>
            <family val="2"/>
          </rPr>
          <t>Researcher who operated the Mass Spec instrument.
Select a 'Operator' from the dropdowns in this column.  Valid values are:
- Asael Roichman
- Caroline Bartman
- Connor Jankowski
- Lingfan Liang
- Marc Bornstein
- Matthew McBride
- Michael Neinast
- Ricardo Cordova
- Sheng Hui
- Wenyun Lu
- Won Dong Lee
- Xianfeng Zeng
- Zihong Chen
Required.</t>
        </r>
      </text>
    </comment>
    <comment ref="C1" authorId="0" shapeId="0" xr:uid="{00000000-0006-0000-0500-000003000000}">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00000000-0006-0000-0500-000004000000}">
      <text>
        <r>
          <rPr>
            <sz val="10"/>
            <color indexed="81"/>
            <rFont val="Courier"/>
            <family val="2"/>
          </rPr>
          <t>The name of the mass spectrometer.
Select a 'MSRunSequence Instrument' from the dropdowns in this column.  Valid
values are:
- QE
- QE2
- QEPlus
- QEHF
- Exploris240
- Exploris480
- ExplorisMX
- unknown
Required.</t>
        </r>
      </text>
    </comment>
    <comment ref="E1" authorId="0" shapeId="0" xr:uid="{00000000-0006-0000-0500-000005000000}">
      <text>
        <r>
          <rPr>
            <sz val="10"/>
            <color indexed="81"/>
            <rFont val="Courier"/>
            <family val="2"/>
          </rPr>
          <t>The date that the mass spectrometer was run.
Format: YYYY-MM-DD.
Required.</t>
        </r>
      </text>
    </comment>
    <comment ref="F1" authorId="0" shapeId="0" xr:uid="{00000000-0006-0000-0500-000006000000}">
      <text>
        <r>
          <rPr>
            <sz val="10"/>
            <color indexed="81"/>
            <rFont val="Courier"/>
            <family val="2"/>
          </rPr>
          <t>Notes on this mass spectrometer run sequence.
Must be unique.
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600-000001000000}">
      <text>
        <r>
          <rPr>
            <sz val="10"/>
            <color indexed="81"/>
            <rFont val="Courier"/>
            <family val="2"/>
          </rPr>
          <t>Peak annotation file, e.g. AccuCor, IsoCorr, etc.
Include a path if the file will not be in the top level of the submission
directory.
The values in this column are referenced by the 'Peak Annotation File Name'
column in the 'Peak Annotation Details' sheet.
Required.</t>
        </r>
      </text>
    </comment>
    <comment ref="B1" authorId="0" shapeId="0" xr:uid="{00000000-0006-0000-0600-000002000000}">
      <text>
        <r>
          <rPr>
            <sz val="10"/>
            <color indexed="81"/>
            <rFont val="Courier"/>
            <family val="2"/>
          </rPr>
          <t>Peak annotation file format.  Default: automatically detected.
Select a 'File Format' from the dropdowns in this column.  Valid values are:
- isocorr
- accucor
- isoautocorr
- unicorr
Required.</t>
        </r>
      </text>
    </comment>
    <comment ref="C1" authorId="0" shapeId="0" xr:uid="{00000000-0006-0000-0600-000003000000}">
      <text>
        <r>
          <rPr>
            <sz val="10"/>
            <color indexed="81"/>
            <rFont val="Courier"/>
            <family val="2"/>
          </rPr>
          <t>The default Sequence to use when loading Peak Annotation File.  Overridden by
values supplied in the 'Peak Annotation File Name' column in the 'Peak
Annotation Details' sheet.
Refer to the Sequence Name column in the Sequences sheet for format details.
Select a 'Default Sequence' from the dropdowns in this column.  The dropdowns
are populated by the 'Sequence Name' column in the 'Sequences' sheet, so if the
dropdowns are empty, add rows to the 'Sequences' sheet.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700-000001000000}">
      <text>
        <r>
          <rPr>
            <sz val="10"/>
            <color indexed="81"/>
            <rFont val="Courier"/>
            <family val="2"/>
          </rPr>
          <t>A sample that was injected at least once during a mass spectrometer sequence.
Select a 'Sample Name' from the dropdowns in this column.  The dropdowns are
populated by the 'Sample' column in the 'Samples' sheet, so if the dropdowns are
empty, add rows to the 'Samples' sheet.
Required.</t>
        </r>
      </text>
    </comment>
    <comment ref="B1" authorId="0" shapeId="0" xr:uid="{00000000-0006-0000-0700-000002000000}">
      <text>
        <r>
          <rPr>
            <sz val="10"/>
            <color indexed="81"/>
            <rFont val="Courier"/>
            <family val="2"/>
          </rPr>
          <t>Sample header from Peak Annotation File Name.
Note, this column is only conditionally required with 'mzXML File Name'.
Required.</t>
        </r>
      </text>
    </comment>
    <comment ref="C1" authorId="0" shapeId="0" xr:uid="{00000000-0006-0000-0700-000003000000}">
      <text>
        <r>
          <rPr>
            <sz val="10"/>
            <color indexed="81"/>
            <rFont val="Courier"/>
            <family val="2"/>
          </rPr>
          <t>A file representing a subset of data extracted from the raw file (e.g. an mzXML
file).
Note, you can load any/all mzXML File Names for a Sample Name *before* the Peak
Annotation File Name is ready to load, in which case you can just leave this
value empty.
Note, this column is only conditionally required with 'Sample Data Header'.
I.e. an mzXML File Name can be loaded without a 'Peak Annotation File Name'.
Optional.</t>
        </r>
      </text>
    </comment>
    <comment ref="D1" authorId="0" shapeId="0" xr:uid="{00000000-0006-0000-0700-000004000000}">
      <text>
        <r>
          <rPr>
            <sz val="10"/>
            <color indexed="81"/>
            <rFont val="Courier"/>
            <family val="2"/>
          </rPr>
          <t>Name of the peak annotation file.  If the sample on any given row was included
in a Peak Annotation File Name, add the name of that file here.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00000000-0006-0000-0700-000005000000}">
      <text>
        <r>
          <rPr>
            <sz val="10"/>
            <color indexed="81"/>
            <rFont val="Courier"/>
            <family val="2"/>
          </rPr>
          <t>The Sequence associated with the Sample Name, Sample Data Header, and/or mzXML
File Name on this row.
Refer to the Sequence Name column in the Sequences sheet for format details.
Select a 'Sequence' from the dropdowns in this column.  The dropdowns are
populated by the 'Sequence Name' column in the 'Sequences' sheet, so if the
dropdowns are empty, add rows to the 'Sequences' sheet.
Optional.</t>
        </r>
      </text>
    </comment>
    <comment ref="F1" authorId="0" shapeId="0" xr:uid="{00000000-0006-0000-0700-000006000000}">
      <text>
        <r>
          <rPr>
            <sz val="10"/>
            <color indexed="81"/>
            <rFont val="Courier"/>
            <family val="2"/>
          </rPr>
          <t>Whether to load data associated with this sample, e.g. a blank sample.
Enter 'skip' to skip loading of the sample and peak annotation data.  The mzXML
file will be saved if supplied, but it will not be associated with an
MSRunSample or MSRunSequence, since the Sample record will not be created.  Note
that the Sample Name, Sample Data Header, and Sequence columns must still have a
unique combo value (for file validation, even though they won't be used).
Boolean: 'skip' or ''.
Select a 'Skip' from the dropdowns in this column.  Valid values are:
-
- skip
Optional.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800-000001000000}">
      <text>
        <r>
          <rPr>
            <sz val="10"/>
            <color indexed="81"/>
            <rFont val="Courier"/>
            <family val="2"/>
          </rPr>
          <t>Peak group name, composed of 1 or more compound synonyms, delimited by '/', e.g.
'citrate/isocitrate'.  (Note, synonym(s) may confer information about the
compound that is not recorded in the compound record, such as a specific
stereoisomer.)
A peak group that exists in multiple peak annotation files containing common
samples.  Only 1 peak group may represent each compound per sample.  Note that
different synonymns of the same compound are treated as qualitatively different
compounds (to support for example, stereo-isomers).
Note that the order and case of the compound synonyms could differ in each file.
Required.</t>
        </r>
      </text>
    </comment>
    <comment ref="B1" authorId="0" shapeId="0" xr:uid="{00000000-0006-0000-0800-000002000000}">
      <text>
        <r>
          <rPr>
            <sz val="10"/>
            <color indexed="81"/>
            <rFont val="Courier"/>
            <family val="2"/>
          </rPr>
          <t>TraceBase will accept only one peak group measurement for each compound in a
given sample.  Sometimes a compound can show up in multiple scans (e.g. in
positive and negative mode scans).  You must select the file containing the best
representation of each compound.  Using the provided drop-downs, select the peak
annotation file from which this peak group should be loaded for the listed
samples.  That compound in the remaining files will be skipped for those
samples.  Note, each drop-down contains only the peak annotation files
containing the peak group compound for that row.
The values in this column are referenced by the 'Peak Annotation File' column in
the 'Peak Annotation Files' sheet.
Required.</t>
        </r>
      </text>
    </comment>
    <comment ref="C1" authorId="0" shapeId="0" xr:uid="{00000000-0006-0000-0800-000003000000}">
      <text>
        <r>
          <rPr>
            <sz val="10"/>
            <color indexed="81"/>
            <rFont val="Courier"/>
            <family val="2"/>
          </rPr>
          <t>The number of Common Samples among the files listed for the given peak group
compound.
Required.</t>
        </r>
      </text>
    </comment>
    <comment ref="D1" authorId="0" shapeId="0" xr:uid="{00000000-0006-0000-0800-000004000000}">
      <text>
        <r>
          <rPr>
            <sz val="10"/>
            <color indexed="81"/>
            <rFont val="Courier"/>
            <family val="2"/>
          </rPr>
          <t>This column contains a sampling of the Common Samples between the files in the
Selected Peak Annotation File drop-down.
A string of sample names delimited by ';'.
Required.</t>
        </r>
      </text>
    </comment>
    <comment ref="E1" authorId="0" shapeId="0" xr:uid="{00000000-0006-0000-0800-000005000000}">
      <text>
        <r>
          <rPr>
            <sz val="10"/>
            <color indexed="81"/>
            <rFont val="Courier"/>
            <family val="2"/>
          </rPr>
          <t>This column contains a sorted list of sample names that multiple peak annotation
files have in common, and each measure the same peak group compound.
A string of sample names delimited by ';'.
Required.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900-000001000000}">
      <text>
        <r>
          <rPr>
            <sz val="10"/>
            <color indexed="81"/>
            <rFont val="Courier"/>
            <family val="2"/>
          </rPr>
          <t>Unique name of the protocol.
The values in this column are referenced by the 'Treatment' column in the
'Animals' sheet.
Must be unique.
Required.</t>
        </r>
      </text>
    </comment>
    <comment ref="B1" authorId="0" shapeId="0" xr:uid="{00000000-0006-0000-0900-000002000000}">
      <text>
        <r>
          <rPr>
            <sz val="10"/>
            <color indexed="81"/>
            <rFont val="Courier"/>
            <family val="2"/>
          </rPr>
          <t>Full text of the protocol's methods.
Optional.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A00-000001000000}">
      <text>
        <r>
          <rPr>
            <sz val="10"/>
            <color indexed="81"/>
            <rFont val="Courier"/>
            <family val="2"/>
          </rPr>
          <t>The laboratory standardized name for this tissue type (e.g. "serum", "brain",
"liver").
Must be unique.
Required.</t>
        </r>
      </text>
    </comment>
    <comment ref="B1" authorId="0" shapeId="0" xr:uid="{00000000-0006-0000-0A00-000002000000}">
      <text>
        <r>
          <rPr>
            <sz val="10"/>
            <color indexed="81"/>
            <rFont val="Courier"/>
            <family val="2"/>
          </rPr>
          <t>Description of this tissue type.
The values in this column are referenced by the 'Tissue' column in the 'Samples'
sheet.
Required.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B00-000001000000}">
      <text>
        <r>
          <rPr>
            <sz val="10"/>
            <color indexed="81"/>
            <rFont val="Courier"/>
            <family val="2"/>
          </rPr>
          <t>The compound name that is commonly used in the laboratory (e.g. "glucose",
"C16:0", etc.).
The values in this column are referenced by the 'Compound' column in the
'Tracers' sheet.
Must be unique.
Required.</t>
        </r>
      </text>
    </comment>
    <comment ref="B1" authorId="0" shapeId="0" xr:uid="{00000000-0006-0000-0B00-000002000000}">
      <text>
        <r>
          <rPr>
            <sz val="10"/>
            <color indexed="81"/>
            <rFont val="Courier"/>
            <family val="2"/>
          </rPr>
          <t>A unique identifier for this compound in the Human Metabolome Database
(https://hmdb.ca/metabolites).
Must be unique.
Required.</t>
        </r>
      </text>
    </comment>
    <comment ref="C1" authorId="0" shapeId="0" xr:uid="{00000000-0006-0000-0B00-000003000000}">
      <text>
        <r>
          <rPr>
            <sz val="10"/>
            <color indexed="81"/>
            <rFont val="Courier"/>
            <family val="2"/>
          </rPr>
          <t>The molecular formula of the compound (e.g. "C6H12O6", "C16H32O2", etc.).
Required.</t>
        </r>
      </text>
    </comment>
    <comment ref="D1" authorId="0" shapeId="0" xr:uid="{00000000-0006-0000-0B00-000004000000}">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C00-000001000000}">
      <text>
        <r>
          <rPr>
            <sz val="10"/>
            <color indexed="81"/>
            <rFont val="Courier"/>
            <family val="2"/>
          </rPr>
          <t>Readonly.  (Calculated by formula.)
Unique laboratory-defined name of the liquid chromatography method.(e.g. polar-
HILIC-25-min)
While this column is automatically populated by excel formula, the following
describes the formula output, if you wish to manually enter it.
E.g. 'LC Protocol'-'Run Length'-min
The values in this column are referenced by the 'Sequence Name' column in the
'Sequences' sheet.
Must be unique.
Required.</t>
        </r>
      </text>
    </comment>
    <comment ref="B1" authorId="0" shapeId="0" xr:uid="{00000000-0006-0000-0C00-000002000000}">
      <text>
        <r>
          <rPr>
            <sz val="10"/>
            <color indexed="81"/>
            <rFont val="Courier"/>
            <family val="2"/>
          </rPr>
          <t>Laboratory-defined type of the liquid chromatography method.(e.g. polar-HILIC)
Select a 'LC Protocol' from the dropdowns in this column.  Valid values are:
- lipid-reversed-phase
- polar-HILIC
- polar-reversed-phase
- polar-reversed-phase-ion-pairing
- unknown
Required.</t>
        </r>
      </text>
    </comment>
    <comment ref="C1" authorId="0" shapeId="0" xr:uid="{00000000-0006-0000-0C00-000003000000}">
      <text>
        <r>
          <rPr>
            <sz val="10"/>
            <color indexed="81"/>
            <rFont val="Courier"/>
            <family val="2"/>
          </rPr>
          <t>Time duration to complete a sample run through the liquid chromatography method.
Units: minutes.
Select a 'Run Length' from the dropdowns in this column.  Valid values are:
- 25.0
Optional.</t>
        </r>
      </text>
    </comment>
    <comment ref="D1" authorId="0" shapeId="0" xr:uid="{00000000-0006-0000-0C00-000004000000}">
      <text>
        <r>
          <rPr>
            <sz val="10"/>
            <color indexed="81"/>
            <rFont val="Courier"/>
            <family val="2"/>
          </rPr>
          <t>Unique full-text description of the liquid chromatography method.
Must be unique.
Required.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<sst xmlns="http://schemas.openxmlformats.org/spreadsheetml/2006/main" count="328" uniqueCount="206">
  <si>
    <t>Name</t>
  </si>
  <si>
    <t>Description</t>
  </si>
  <si>
    <t>alb ko fcirc</t>
  </si>
  <si>
    <t>Fasted mice were infused for various lengths of time.  Serum was collected at time 150, 155.</t>
  </si>
  <si>
    <t>Tracer Row Group</t>
  </si>
  <si>
    <t>Compound</t>
  </si>
  <si>
    <t>Mass Number</t>
  </si>
  <si>
    <t>Element</t>
  </si>
  <si>
    <t>Label Count</t>
  </si>
  <si>
    <t>Label Positions</t>
  </si>
  <si>
    <t>Tracer Name</t>
  </si>
  <si>
    <t>glucose</t>
  </si>
  <si>
    <t>methionine</t>
  </si>
  <si>
    <t>proline</t>
  </si>
  <si>
    <t>serine</t>
  </si>
  <si>
    <t>valine</t>
  </si>
  <si>
    <t>glycerol</t>
  </si>
  <si>
    <t>C</t>
  </si>
  <si>
    <t>N</t>
  </si>
  <si>
    <t>glucose-[13C6]</t>
  </si>
  <si>
    <t>methionine-[13C5,15N1]</t>
  </si>
  <si>
    <t>proline-[13C5,15N1]</t>
  </si>
  <si>
    <t>serine-[13C3,15N1]</t>
  </si>
  <si>
    <t>valine-[13C5,15N1]</t>
  </si>
  <si>
    <t>glycerol-[13C3]</t>
  </si>
  <si>
    <t>Infusate Row Group</t>
  </si>
  <si>
    <t>Tracer Group Name</t>
  </si>
  <si>
    <t>Tracer</t>
  </si>
  <si>
    <t>Tracer Concentration</t>
  </si>
  <si>
    <t>Infusate Name</t>
  </si>
  <si>
    <t>glucose-[13C6][100];methionine-[13C5,15N1][3.5];proline-[13C5,15N1][10];serine-[13C3,15N1][20];valine-[13C5,15N1][10]</t>
  </si>
  <si>
    <t>glycerol-[13C3][110]</t>
  </si>
  <si>
    <t>glucose-[13C6][300]</t>
  </si>
  <si>
    <t>glucose-[13C6][200]</t>
  </si>
  <si>
    <t>glucose-[13C6][800]</t>
  </si>
  <si>
    <t>glucose-[13C6][400]</t>
  </si>
  <si>
    <t>glycerol-[13C3][100]</t>
  </si>
  <si>
    <t>glucose-[13C6][101]</t>
  </si>
  <si>
    <t>glycerol-[13C3][70]</t>
  </si>
  <si>
    <t>glucose-[13C6][1.88e+03]</t>
  </si>
  <si>
    <t>Animal Name</t>
  </si>
  <si>
    <t>Age</t>
  </si>
  <si>
    <t>Sex</t>
  </si>
  <si>
    <t>Genotype</t>
  </si>
  <si>
    <t>Weight</t>
  </si>
  <si>
    <t>Infusate</t>
  </si>
  <si>
    <t>Infusion Rate</t>
  </si>
  <si>
    <t>Diet</t>
  </si>
  <si>
    <t>Feeding Status</t>
  </si>
  <si>
    <t>Treatment</t>
  </si>
  <si>
    <t>Study</t>
  </si>
  <si>
    <t>20220818M1</t>
  </si>
  <si>
    <t>20220818M2</t>
  </si>
  <si>
    <t>20220818M3</t>
  </si>
  <si>
    <t>20220818M4</t>
  </si>
  <si>
    <t>male</t>
  </si>
  <si>
    <t>alb-/-</t>
  </si>
  <si>
    <t>PicoLab Rodent 20 5053</t>
  </si>
  <si>
    <t>fasted</t>
  </si>
  <si>
    <t>no treatment</t>
  </si>
  <si>
    <t>Sample</t>
  </si>
  <si>
    <t>Date Collected</t>
  </si>
  <si>
    <t>Researcher Name</t>
  </si>
  <si>
    <t>Tissue</t>
  </si>
  <si>
    <t>Collection Time</t>
  </si>
  <si>
    <t>Animal</t>
  </si>
  <si>
    <t>M1_mix1_T150</t>
  </si>
  <si>
    <t>M2_mix1_T150</t>
  </si>
  <si>
    <t>M3_glycerol_T150</t>
  </si>
  <si>
    <t>M4_glycerol_T150</t>
  </si>
  <si>
    <t>2022-08-18</t>
  </si>
  <si>
    <t>anonymous</t>
  </si>
  <si>
    <t>serum_plasma_tail</t>
  </si>
  <si>
    <t>Sequence Name</t>
  </si>
  <si>
    <t>Operator</t>
  </si>
  <si>
    <t>LC Protocol Name</t>
  </si>
  <si>
    <t>Instrument</t>
  </si>
  <si>
    <t>Date</t>
  </si>
  <si>
    <t>Notes</t>
  </si>
  <si>
    <t>unknown</t>
  </si>
  <si>
    <t>Peak Annotation File</t>
  </si>
  <si>
    <t>File Format</t>
  </si>
  <si>
    <t>Default Sequence</t>
  </si>
  <si>
    <t>Sample Name</t>
  </si>
  <si>
    <t>Sample Data Header</t>
  </si>
  <si>
    <t>mzXML File Name</t>
  </si>
  <si>
    <t>Peak Annotation File Name</t>
  </si>
  <si>
    <t>Sequence</t>
  </si>
  <si>
    <t>Skip</t>
  </si>
  <si>
    <t>Peak Group Conflict</t>
  </si>
  <si>
    <t>Selected Peak Annotation File</t>
  </si>
  <si>
    <t>Common Sample Count</t>
  </si>
  <si>
    <t>Example Samples</t>
  </si>
  <si>
    <t>Common Samples</t>
  </si>
  <si>
    <t>Animal Treatment</t>
  </si>
  <si>
    <t>Treatment Description</t>
  </si>
  <si>
    <t>brown_adipose_tissue</t>
  </si>
  <si>
    <t>brain</t>
  </si>
  <si>
    <t>diaphragm</t>
  </si>
  <si>
    <t>gastrocnemius</t>
  </si>
  <si>
    <t>white_adipose_tissue_gonadal</t>
  </si>
  <si>
    <t>heart</t>
  </si>
  <si>
    <t>kidney</t>
  </si>
  <si>
    <t>liver</t>
  </si>
  <si>
    <t>lung</t>
  </si>
  <si>
    <t>pancreas</t>
  </si>
  <si>
    <t>quadricep</t>
  </si>
  <si>
    <t>small_intestine</t>
  </si>
  <si>
    <t>soleus</t>
  </si>
  <si>
    <t>skeletal_muscle_unspecified_location</t>
  </si>
  <si>
    <t>colon</t>
  </si>
  <si>
    <t>white_adipose_tissue_inguinal</t>
  </si>
  <si>
    <t>white_adipose_tissue_unspecified_location</t>
  </si>
  <si>
    <t>spleen</t>
  </si>
  <si>
    <t>serum_plasma_artery</t>
  </si>
  <si>
    <t>serum_plasma_portal</t>
  </si>
  <si>
    <t>serum_plasma_unspecified_location</t>
  </si>
  <si>
    <t>thymus</t>
  </si>
  <si>
    <t>ear</t>
  </si>
  <si>
    <t>skin</t>
  </si>
  <si>
    <t>stomach</t>
  </si>
  <si>
    <t>cecum</t>
  </si>
  <si>
    <t>cecum_contents</t>
  </si>
  <si>
    <t>tibialus_anterior</t>
  </si>
  <si>
    <t>eye</t>
  </si>
  <si>
    <t>testicle</t>
  </si>
  <si>
    <t>ovary</t>
  </si>
  <si>
    <t>uterus</t>
  </si>
  <si>
    <t>tumor_nonspecific</t>
  </si>
  <si>
    <t>tumor_hct116</t>
  </si>
  <si>
    <t>brown adipose tissue</t>
  </si>
  <si>
    <t>whole brain</t>
  </si>
  <si>
    <t>diaphragm muscle</t>
  </si>
  <si>
    <t>gastrocnemius muscle</t>
  </si>
  <si>
    <t>gonadal white adipose tissue</t>
  </si>
  <si>
    <t>heart muscle (ventricle)</t>
  </si>
  <si>
    <t>quadricep muscle</t>
  </si>
  <si>
    <t>small intestine</t>
  </si>
  <si>
    <t>unspecified skeletal muscle - only use this if source muscle is unknown</t>
  </si>
  <si>
    <t>inguinal white adipose tissue</t>
  </si>
  <si>
    <t>unspecified white adipose tissue - only use this if source fat depot is unknown</t>
  </si>
  <si>
    <t>serum or plasma collected from tail snip</t>
  </si>
  <si>
    <t>serum or plasma collected from any artery</t>
  </si>
  <si>
    <t>serum or plasma collected from portal vein</t>
  </si>
  <si>
    <t>serum or plasma - only use when the source is unknown</t>
  </si>
  <si>
    <t>outer ear, usually collected as a representative skin sample</t>
  </si>
  <si>
    <t>unspecified source of skin - only use this if source of skin is unknown</t>
  </si>
  <si>
    <t>cecum contents</t>
  </si>
  <si>
    <t>tibialus anterior muscle</t>
  </si>
  <si>
    <t>eyeball</t>
  </si>
  <si>
    <t>xenograft tumor of HCT116 cells</t>
  </si>
  <si>
    <t>HMDB ID</t>
  </si>
  <si>
    <t>Formula</t>
  </si>
  <si>
    <t>Synonyms</t>
  </si>
  <si>
    <t>LC Protocol</t>
  </si>
  <si>
    <t>Run Length</t>
  </si>
  <si>
    <t>lipid-reversed-phase-25-min</t>
  </si>
  <si>
    <t>polar-HILIC-25-min</t>
  </si>
  <si>
    <t>polar-reversed-phase-25-min</t>
  </si>
  <si>
    <t>polar-reversed-phase-ion-pairing-25-min</t>
  </si>
  <si>
    <t>lipid-reversed-phase</t>
  </si>
  <si>
    <t>polar-HILIC</t>
  </si>
  <si>
    <t>polar-reversed-phase</t>
  </si>
  <si>
    <t>polar-reversed-phase-ion-pairing</t>
  </si>
  <si>
    <t>This method involves the analysis of lipids using reversed-phase chromatography on C18 columns, coupled with high resolution mass spectrometry. It is mainly used for the analysis of lipids.</t>
  </si>
  <si>
    <t>This method involves the analysis of polar metabolites using HILIC on Waters Amide columns with basic buffer, coupled with high resolution mass spectrometry</t>
  </si>
  <si>
    <t>This method involves the analysis of polar metabolites using C18 columns with acidic buffer, coupled with high resolution mass spectrometry. It is mainly used for the analysis of amino acids and derivatives.</t>
  </si>
  <si>
    <t>This method involves the analysis of polar metabolites using reversed-phase ion pairing chromatography on C18 columns, coupled with high resolution mass spectrometry. It provides good separation and detection for polar metabolites in negative ion mode, in particular phosphate metabolites.</t>
  </si>
  <si>
    <t>Liquid chromatography methodology was not provided or is unavailable.</t>
  </si>
  <si>
    <t>accucor</t>
  </si>
  <si>
    <t>anonymous, polar-HILIC-25-min, unknown, 2021-04-29</t>
  </si>
  <si>
    <t>accucor.xlsx</t>
  </si>
  <si>
    <t>HMDB0000122</t>
  </si>
  <si>
    <t>C6H12O6</t>
  </si>
  <si>
    <t>D-Glucose;Glucose;dextrose;glucose</t>
  </si>
  <si>
    <t>HMDB0000131</t>
  </si>
  <si>
    <t>C3H8O3</t>
  </si>
  <si>
    <t>Glycerol;glycerol</t>
  </si>
  <si>
    <t>D-fructose</t>
  </si>
  <si>
    <t>HMDB0000660</t>
  </si>
  <si>
    <t>galactose</t>
  </si>
  <si>
    <t>HMDB0000143</t>
  </si>
  <si>
    <t>D-Galactose;Galactose;galactose</t>
  </si>
  <si>
    <t>L-gulose</t>
  </si>
  <si>
    <t>HMDB0012326</t>
  </si>
  <si>
    <t>mannose</t>
  </si>
  <si>
    <t>HMDB0000169</t>
  </si>
  <si>
    <t>Mannose;mannose</t>
  </si>
  <si>
    <t>myo-inositol</t>
  </si>
  <si>
    <t>HMDB0000211</t>
  </si>
  <si>
    <t>Myo-inositol;inositol;myo-inositol</t>
  </si>
  <si>
    <t>C5H11NO2S</t>
  </si>
  <si>
    <t>HMDB0000696</t>
  </si>
  <si>
    <t>met</t>
  </si>
  <si>
    <t>HMDB0000162</t>
  </si>
  <si>
    <t>C5H9NO2</t>
  </si>
  <si>
    <t>(2S)-pyrrolidine-2-carboxylic acid</t>
  </si>
  <si>
    <t>C3H7NO3</t>
  </si>
  <si>
    <t>HMDB0000187</t>
  </si>
  <si>
    <t>ser</t>
  </si>
  <si>
    <t>C5H11NO2</t>
  </si>
  <si>
    <t>HMDB0000883</t>
  </si>
  <si>
    <t>val</t>
  </si>
  <si>
    <t>unspecified tumor - only use this if other information is unknown</t>
  </si>
  <si>
    <t>No manipulation besides what is already described in other fields.</t>
  </si>
  <si>
    <t>DataRepo/tests/data/accucor_with_multiple_labels/accucor.xlsx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</si>
</sst>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indexed="81"/>
      <name val="Courier"/>
      <family val="2"/>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14" fontId="0" fillId="0" borderId="0" xfId="0" applyNumberFormat="1"/>
  </cellXfs>
  <cellStyles count="1">
    <cellStyle name="Normal" xfId="0" builtinId="0"/>
  </cellStyles>
  <dxfs count="35">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baseColWidth="10" defaultColWidth="8.83203125" defaultRowHeight="15"/>
  <cols>
    <col min="1" max="1" width="10.5" bestFit="1" customWidth="1"/>
    <col min="2" max="2" width="81.6640625" bestFit="1" customWidth="1"/>
  </cols>
  <sheetData>
    <row r="1" spans="1:2">
      <c r="A1" s="1" t="s">
        <v>0</v>
      </c>
      <c r="B1" s="1" t="s">
        <v>1</v>
      </c>
    </row>
    <row r="2" spans="1:2">
      <c r="A2" t="s">
        <v>2</v>
      </c>
      <c r="B2" t="s">
        <v>3</v>
      </c>
    </row>
  </sheetData>
  <conditionalFormatting sqref="A1">
    <cfRule type="notContainsErrors" dxfId="34" priority="1">
      <formula>NOT(ISERROR(A1))</formula>
    </cfRule>
  </conditionalFormatting>
  <conditionalFormatting sqref="B1">
    <cfRule type="notContainsErrors" dxfId="33" priority="2">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heetViews>
  <sheetFormatPr baseColWidth="10" defaultColWidth="8.83203125" defaultRowHeight="15"/>
  <cols>
    <col min="1" max="1" width="16.5" bestFit="1" customWidth="1"/>
    <col min="2" max="2" width="11.5" bestFit="1" customWidth="1"/>
    <col min="3" max="3" width="13.1640625" bestFit="1" customWidth="1"/>
    <col min="4" max="4" width="8.5" bestFit="1" customWidth="1"/>
    <col min="5" max="5" width="11.5" bestFit="1" customWidth="1"/>
    <col min="6" max="6" width="14.33203125" bestFit="1" customWidth="1"/>
    <col min="7" max="7" width="22.6640625" style="2" bestFit="1" customWidth="1"/>
  </cols>
  <sheetData>
    <row r="1" spans="1:7">
      <c r="A1" s="1" t="s">
        <v>4</v>
      </c>
      <c r="B1" s="1" t="s">
        <v>5</v>
      </c>
      <c r="C1" s="1" t="s">
        <v>6</v>
      </c>
      <c r="D1" s="1" t="s">
        <v>7</v>
      </c>
      <c r="E1" s="1" t="s">
        <v>8</v>
      </c>
      <c r="F1" s="1" t="s">
        <v>9</v>
      </c>
      <c r="G1" s="1" t="s">
        <v>10</v>
      </c>
    </row>
    <row r="2" spans="1:7">
      <c r="A2">
        <v>1</v>
      </c>
      <c r="B2" t="s">
        <v>11</v>
      </c>
      <c r="C2">
        <v>13</v>
      </c>
      <c r="D2" t="s">
        <v>17</v>
      </c>
      <c r="E2">
        <v>6</v>
      </c>
      <c r="G2" s="2" t="s">
        <v>19</v>
      </c>
    </row>
    <row r="3" spans="1:7">
      <c r="A3">
        <v>2</v>
      </c>
      <c r="B3" t="s">
        <v>12</v>
      </c>
      <c r="C3">
        <v>13</v>
      </c>
      <c r="D3" t="s">
        <v>17</v>
      </c>
      <c r="E3">
        <v>5</v>
      </c>
      <c r="G3" s="2" t="s">
        <v>20</v>
      </c>
    </row>
    <row r="4" spans="1:7">
      <c r="A4">
        <v>2</v>
      </c>
      <c r="B4" t="s">
        <v>12</v>
      </c>
      <c r="C4">
        <v>15</v>
      </c>
      <c r="D4" t="s">
        <v>18</v>
      </c>
      <c r="E4">
        <v>1</v>
      </c>
      <c r="G4" s="2" t="s">
        <v>20</v>
      </c>
    </row>
    <row r="5" spans="1:7">
      <c r="A5">
        <v>3</v>
      </c>
      <c r="B5" t="s">
        <v>13</v>
      </c>
      <c r="C5">
        <v>13</v>
      </c>
      <c r="D5" t="s">
        <v>17</v>
      </c>
      <c r="E5">
        <v>5</v>
      </c>
      <c r="G5" s="2" t="s">
        <v>21</v>
      </c>
    </row>
    <row r="6" spans="1:7">
      <c r="A6">
        <v>3</v>
      </c>
      <c r="B6" t="s">
        <v>13</v>
      </c>
      <c r="C6">
        <v>15</v>
      </c>
      <c r="D6" t="s">
        <v>18</v>
      </c>
      <c r="E6">
        <v>1</v>
      </c>
      <c r="G6" s="2" t="s">
        <v>21</v>
      </c>
    </row>
    <row r="7" spans="1:7">
      <c r="A7">
        <v>4</v>
      </c>
      <c r="B7" t="s">
        <v>14</v>
      </c>
      <c r="C7">
        <v>13</v>
      </c>
      <c r="D7" t="s">
        <v>17</v>
      </c>
      <c r="E7">
        <v>3</v>
      </c>
      <c r="G7" s="2" t="s">
        <v>22</v>
      </c>
    </row>
    <row r="8" spans="1:7">
      <c r="A8">
        <v>4</v>
      </c>
      <c r="B8" t="s">
        <v>14</v>
      </c>
      <c r="C8">
        <v>15</v>
      </c>
      <c r="D8" t="s">
        <v>18</v>
      </c>
      <c r="E8">
        <v>1</v>
      </c>
      <c r="G8" s="2" t="s">
        <v>22</v>
      </c>
    </row>
    <row r="9" spans="1:7">
      <c r="A9">
        <v>5</v>
      </c>
      <c r="B9" t="s">
        <v>15</v>
      </c>
      <c r="C9">
        <v>13</v>
      </c>
      <c r="D9" t="s">
        <v>17</v>
      </c>
      <c r="E9">
        <v>5</v>
      </c>
      <c r="G9" s="2" t="s">
        <v>23</v>
      </c>
    </row>
    <row r="10" spans="1:7">
      <c r="A10">
        <v>5</v>
      </c>
      <c r="B10" t="s">
        <v>15</v>
      </c>
      <c r="C10">
        <v>15</v>
      </c>
      <c r="D10" t="s">
        <v>18</v>
      </c>
      <c r="E10">
        <v>1</v>
      </c>
      <c r="G10" s="2" t="s">
        <v>23</v>
      </c>
    </row>
    <row r="11" spans="1:7">
      <c r="A11">
        <v>6</v>
      </c>
      <c r="B11" t="s">
        <v>16</v>
      </c>
      <c r="C11">
        <v>13</v>
      </c>
      <c r="D11" t="s">
        <v>17</v>
      </c>
      <c r="E11">
        <v>3</v>
      </c>
      <c r="G11" s="2" t="s">
        <v>24</v>
      </c>
    </row>
    <row r="12" spans="1:7">
      <c r="G12" s="2"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2" spans="7:7">
      <c r="G22" s="2" t="str" cm="1">
        <f t="array" aca="1" ref="G2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3" spans="7:7">
      <c r="G23" s="2" t="str" cm="1">
        <f t="array" aca="1" ref="G2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4" spans="7:7">
      <c r="G24" s="2" t="str" cm="1">
        <f t="array" aca="1" ref="G2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5" spans="7:7">
      <c r="G25" s="2" t="str" cm="1">
        <f t="array" aca="1" ref="G2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6" spans="7:7">
      <c r="G26" s="2" t="str" cm="1">
        <f t="array" aca="1" ref="G2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7" spans="7:7">
      <c r="G27" s="2" t="str" cm="1">
        <f t="array" aca="1" ref="G2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8" spans="7:7">
      <c r="G28" s="2" t="str" cm="1">
        <f t="array" aca="1" ref="G2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9" spans="7:7">
      <c r="G29" s="2" t="str" cm="1">
        <f t="array" aca="1" ref="G2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30" spans="7:7">
      <c r="G30" s="2" t="str" cm="1">
        <f t="array" aca="1" ref="G3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31" spans="7:7">
      <c r="G31" s="2" t="str" cm="1">
        <f t="array" aca="1" ref="G3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32" priority="1">
      <formula>NOT(ISERROR(A1))</formula>
    </cfRule>
  </conditionalFormatting>
  <conditionalFormatting sqref="F1">
    <cfRule type="notContainsErrors" dxfId="31" priority="6">
      <formula>NOT(ISERROR(F1))</formula>
    </cfRule>
  </conditionalFormatting>
  <conditionalFormatting sqref="G1">
    <cfRule type="notContainsErrors" dxfId="30" priority="7">
      <formula>NOT(ISERROR(G1))</formula>
    </cfRule>
  </conditionalFormatting>
  <dataValidations count="1">
    <dataValidation type="list" allowBlank="1" showInputMessage="1" showErrorMessage="1" sqref="D2:D30" xr:uid="{00000000-0002-0000-0100-000001000000}">
      <formula1>"C,H,N,O,P,S"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100-000000000000}">
          <x14:formula1>
            <xm:f>Compounds!$A$2:$A$20</xm:f>
          </x14:formula1>
          <xm:sqref>B2:B30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workbookViewId="0"/>
  </sheetViews>
  <sheetFormatPr baseColWidth="10" defaultColWidth="8.83203125" defaultRowHeight="15"/>
  <cols>
    <col min="1" max="1" width="18.5" bestFit="1" customWidth="1"/>
    <col min="2" max="2" width="18" bestFit="1" customWidth="1"/>
    <col min="3" max="3" width="22.6640625" bestFit="1" customWidth="1"/>
    <col min="4" max="4" width="19.5" bestFit="1" customWidth="1"/>
    <col min="5" max="5" width="108" style="2" bestFit="1" customWidth="1"/>
  </cols>
  <sheetData>
    <row r="1" spans="1:5">
      <c r="A1" s="1" t="s">
        <v>25</v>
      </c>
      <c r="B1" s="1" t="s">
        <v>26</v>
      </c>
      <c r="C1" s="1" t="s">
        <v>27</v>
      </c>
      <c r="D1" s="1" t="s">
        <v>28</v>
      </c>
      <c r="E1" s="1" t="s">
        <v>29</v>
      </c>
    </row>
    <row r="2" spans="1:5">
      <c r="A2">
        <v>1</v>
      </c>
      <c r="C2" t="s">
        <v>19</v>
      </c>
      <c r="D2">
        <v>100</v>
      </c>
      <c r="E2" s="2" t="s">
        <v>30</v>
      </c>
    </row>
    <row r="3" spans="1:5">
      <c r="A3">
        <v>1</v>
      </c>
      <c r="C3" t="s">
        <v>20</v>
      </c>
      <c r="D3">
        <v>3.5</v>
      </c>
      <c r="E3" s="2" t="s">
        <v>30</v>
      </c>
    </row>
    <row r="4" spans="1:5">
      <c r="A4">
        <v>1</v>
      </c>
      <c r="C4" t="s">
        <v>21</v>
      </c>
      <c r="D4">
        <v>10</v>
      </c>
      <c r="E4" s="2" t="s">
        <v>30</v>
      </c>
    </row>
    <row r="5" spans="1:5">
      <c r="A5">
        <v>1</v>
      </c>
      <c r="C5" t="s">
        <v>22</v>
      </c>
      <c r="D5">
        <v>20</v>
      </c>
      <c r="E5" s="2" t="s">
        <v>30</v>
      </c>
    </row>
    <row r="6" spans="1:5">
      <c r="A6">
        <v>1</v>
      </c>
      <c r="C6" t="s">
        <v>23</v>
      </c>
      <c r="D6">
        <v>10</v>
      </c>
      <c r="E6" s="2" t="s">
        <v>30</v>
      </c>
    </row>
    <row r="7" spans="1:5">
      <c r="A7">
        <v>2</v>
      </c>
      <c r="C7" t="s">
        <v>24</v>
      </c>
      <c r="D7">
        <v>110</v>
      </c>
      <c r="E7" s="2" t="s">
        <v>31</v>
      </c>
    </row>
    <row r="8" spans="1:5">
      <c r="A8">
        <v>3</v>
      </c>
      <c r="C8" t="s">
        <v>19</v>
      </c>
      <c r="D8">
        <v>300</v>
      </c>
      <c r="E8" s="2" t="s">
        <v>32</v>
      </c>
    </row>
    <row r="9" spans="1:5">
      <c r="A9">
        <v>4</v>
      </c>
      <c r="C9" t="s">
        <v>19</v>
      </c>
      <c r="D9">
        <v>200</v>
      </c>
      <c r="E9" s="2" t="s">
        <v>33</v>
      </c>
    </row>
    <row r="10" spans="1:5">
      <c r="A10">
        <v>5</v>
      </c>
      <c r="C10" t="s">
        <v>19</v>
      </c>
      <c r="D10">
        <v>800</v>
      </c>
      <c r="E10" s="2" t="s">
        <v>34</v>
      </c>
    </row>
    <row r="11" spans="1:5">
      <c r="A11">
        <v>6</v>
      </c>
      <c r="C11" t="s">
        <v>19</v>
      </c>
      <c r="D11">
        <v>400</v>
      </c>
      <c r="E11" s="2" t="s">
        <v>35</v>
      </c>
    </row>
    <row r="12" spans="1:5">
      <c r="A12">
        <v>7</v>
      </c>
      <c r="C12" t="s">
        <v>24</v>
      </c>
      <c r="D12">
        <v>100</v>
      </c>
      <c r="E12" s="2" t="s">
        <v>36</v>
      </c>
    </row>
    <row r="13" spans="1:5">
      <c r="A13">
        <v>8</v>
      </c>
      <c r="C13" t="s">
        <v>19</v>
      </c>
      <c r="D13">
        <v>101</v>
      </c>
      <c r="E13" s="2" t="s">
        <v>37</v>
      </c>
    </row>
    <row r="14" spans="1:5">
      <c r="A14">
        <v>9</v>
      </c>
      <c r="C14" t="s">
        <v>24</v>
      </c>
      <c r="D14">
        <v>70</v>
      </c>
      <c r="E14" s="2" t="s">
        <v>38</v>
      </c>
    </row>
    <row r="15" spans="1:5">
      <c r="A15">
        <v>10</v>
      </c>
      <c r="C15" t="s">
        <v>19</v>
      </c>
      <c r="D15">
        <v>1875</v>
      </c>
      <c r="E15" s="2" t="s">
        <v>39</v>
      </c>
    </row>
    <row r="16" spans="1:5">
      <c r="E16" s="2"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2" spans="5:5">
      <c r="E22" s="2" t="str" cm="1">
        <f t="array" aca="1" ref="E2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3" spans="5:5">
      <c r="E23" s="2" t="str" cm="1">
        <f t="array" aca="1" ref="E2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4" spans="5:5">
      <c r="E24" s="2" t="str" cm="1">
        <f t="array" aca="1" ref="E2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5" spans="5:5">
      <c r="E25" s="2" t="str" cm="1">
        <f t="array" aca="1" ref="E2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6" spans="5:5">
      <c r="E26" s="2" t="str" cm="1">
        <f t="array" aca="1" ref="E2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7" spans="5:5">
      <c r="E27" s="2" t="str" cm="1">
        <f t="array" aca="1" ref="E2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8" spans="5:5">
      <c r="E28" s="2" t="str" cm="1">
        <f t="array" aca="1" ref="E2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9" spans="5:5">
      <c r="E29" s="2" t="str" cm="1">
        <f t="array" aca="1" ref="E2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0" spans="5:5">
      <c r="E30" s="2" t="str" cm="1">
        <f t="array" aca="1" ref="E3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1" spans="5:5">
      <c r="E31" s="2" t="str" cm="1">
        <f t="array" aca="1" ref="E3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2" spans="5:5">
      <c r="E32" s="2" t="str" cm="1">
        <f t="array" aca="1" ref="E3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3" spans="5:5">
      <c r="E33" s="2" t="str" cm="1">
        <f t="array" aca="1" ref="E3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4" spans="5:5">
      <c r="E34" s="2" t="str" cm="1">
        <f t="array" aca="1" ref="E3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35" spans="5:5">
      <c r="E35" s="2" t="str" cm="1">
        <f t="array" aca="1" ref="E3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29" priority="1">
      <formula>NOT(ISERROR(A1))</formula>
    </cfRule>
  </conditionalFormatting>
  <conditionalFormatting sqref="B1">
    <cfRule type="notContainsErrors" dxfId="28" priority="2">
      <formula>NOT(ISERROR(B1))</formula>
    </cfRule>
  </conditionalFormatting>
  <conditionalFormatting sqref="C1:D1">
    <cfRule type="notContainsErrors" dxfId="27" priority="3">
      <formula>NOT(ISERROR(C1))</formula>
    </cfRule>
  </conditionalFormatting>
  <conditionalFormatting sqref="E1">
    <cfRule type="notContainsErrors" dxfId="26" priority="5">
      <formula>NOT(ISERROR(E1))</formula>
    </cfRule>
  </conditionalFormatting>
  <dataValidations count="1">
    <dataValidation type="list" allowBlank="1" showInputMessage="1" sqref="B2:B34" xr:uid="{00000000-0002-0000-0200-000000000000}">
      <formula1>"6EAAs (MFWKHT),BCAAs (VLI),BCAAs_13C,KLI"</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Tracers!$G$2:$G$30</xm:f>
          </x14:formula1>
          <xm:sqref>C2:C34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
  <sheetViews>
    <sheetView workbookViewId="0">
      <selection activeCell="I5" sqref="I5"/>
    </sheetView>
  </sheetViews>
  <sheetFormatPr baseColWidth="10" defaultColWidth="8.83203125" defaultRowHeight="15"/>
  <cols>
    <col min="1" max="1" width="13" bestFit="1" customWidth="1"/>
    <col min="2" max="2" width="4.5" bestFit="1" customWidth="1"/>
    <col min="3" max="3" width="5.5" bestFit="1" customWidth="1"/>
    <col min="4" max="4" width="9.6640625" bestFit="1" customWidth="1"/>
    <col min="5" max="5" width="7.5" bestFit="1" customWidth="1"/>
    <col min="6" max="6" width="108" bestFit="1" customWidth="1"/>
    <col min="7" max="7" width="12.6640625" bestFit="1" customWidth="1"/>
    <col min="8" max="8" width="21.5" bestFit="1" customWidth="1"/>
    <col min="9" max="9" width="14" bestFit="1" customWidth="1"/>
    <col min="10" max="10" width="12.6640625" bestFit="1" customWidth="1"/>
    <col min="11" max="11" width="10.5" bestFit="1" customWidth="1"/>
  </cols>
  <sheetData>
    <row r="1" spans="1:11">
      <c r="A1" s="1" t="s">
        <v>40</v>
      </c>
      <c r="B1" s="1" t="s">
        <v>41</v>
      </c>
      <c r="C1" s="1" t="s">
        <v>42</v>
      </c>
      <c r="D1" s="1" t="s">
        <v>43</v>
      </c>
      <c r="E1" s="1" t="s">
        <v>44</v>
      </c>
      <c r="F1" s="1" t="s">
        <v>45</v>
      </c>
      <c r="G1" s="1" t="s">
        <v>46</v>
      </c>
      <c r="H1" s="1" t="s">
        <v>47</v>
      </c>
      <c r="I1" s="1" t="s">
        <v>48</v>
      </c>
      <c r="J1" s="1" t="s">
        <v>49</v>
      </c>
      <c r="K1" s="1" t="s">
        <v>50</v>
      </c>
    </row>
    <row r="2" spans="1:11">
      <c r="A2" t="s">
        <v>51</v>
      </c>
      <c r="B2">
        <v>11</v>
      </c>
      <c r="C2" t="s">
        <v>55</v>
      </c>
      <c r="D2" t="s">
        <v>56</v>
      </c>
      <c r="E2">
        <v>25.3</v>
      </c>
      <c r="F2" t="s">
        <v>30</v>
      </c>
      <c r="G2">
        <v>0.1</v>
      </c>
      <c r="H2" t="s">
        <v>57</v>
      </c>
      <c r="I2" t="s">
        <v>58</v>
      </c>
      <c r="J2" t="s">
        <v>59</v>
      </c>
      <c r="K2" t="s">
        <v>2</v>
      </c>
    </row>
    <row r="3" spans="1:11">
      <c r="A3" t="s">
        <v>52</v>
      </c>
      <c r="B3">
        <v>11</v>
      </c>
      <c r="C3" t="s">
        <v>55</v>
      </c>
      <c r="D3" t="s">
        <v>56</v>
      </c>
      <c r="E3">
        <v>26.8</v>
      </c>
      <c r="F3" t="s">
        <v>30</v>
      </c>
      <c r="G3">
        <v>0.1</v>
      </c>
      <c r="H3" t="s">
        <v>57</v>
      </c>
      <c r="I3" t="s">
        <v>58</v>
      </c>
      <c r="J3" t="s">
        <v>59</v>
      </c>
      <c r="K3" t="s">
        <v>2</v>
      </c>
    </row>
    <row r="4" spans="1:11">
      <c r="A4" t="s">
        <v>53</v>
      </c>
      <c r="B4">
        <v>11</v>
      </c>
      <c r="C4" t="s">
        <v>55</v>
      </c>
      <c r="D4" t="s">
        <v>56</v>
      </c>
      <c r="E4">
        <v>23.3</v>
      </c>
      <c r="F4" t="s">
        <v>31</v>
      </c>
      <c r="G4">
        <v>0.1</v>
      </c>
      <c r="H4" t="s">
        <v>57</v>
      </c>
      <c r="I4" t="s">
        <v>58</v>
      </c>
      <c r="J4" t="s">
        <v>59</v>
      </c>
      <c r="K4" t="s">
        <v>2</v>
      </c>
    </row>
    <row r="5" spans="1:11">
      <c r="A5" t="s">
        <v>54</v>
      </c>
      <c r="B5">
        <v>11</v>
      </c>
      <c r="C5" t="s">
        <v>55</v>
      </c>
      <c r="D5" t="s">
        <v>56</v>
      </c>
      <c r="E5">
        <v>26.9</v>
      </c>
      <c r="F5" t="s">
        <v>31</v>
      </c>
      <c r="G5">
        <v>0.1</v>
      </c>
      <c r="H5" t="s">
        <v>57</v>
      </c>
      <c r="I5" t="s">
        <v>58</v>
      </c>
      <c r="J5" t="s">
        <v>59</v>
      </c>
      <c r="K5" t="s">
        <v>2</v>
      </c>
    </row>
  </sheetData>
  <conditionalFormatting sqref="A1">
    <cfRule type="notContainsErrors" dxfId="25" priority="1">
      <formula>NOT(ISERROR(A1))</formula>
    </cfRule>
  </conditionalFormatting>
  <conditionalFormatting sqref="B1:C1">
    <cfRule type="notContainsErrors" dxfId="24" priority="2">
      <formula>NOT(ISERROR(B1))</formula>
    </cfRule>
  </conditionalFormatting>
  <conditionalFormatting sqref="D1">
    <cfRule type="notContainsErrors" dxfId="23" priority="4">
      <formula>NOT(ISERROR(D1))</formula>
    </cfRule>
  </conditionalFormatting>
  <conditionalFormatting sqref="E1:J1">
    <cfRule type="notContainsErrors" dxfId="22" priority="5">
      <formula>NOT(ISERROR(E1))</formula>
    </cfRule>
  </conditionalFormatting>
  <conditionalFormatting sqref="K1">
    <cfRule type="notContainsErrors" dxfId="21" priority="11">
      <formula>NOT(ISERROR(K1))</formula>
    </cfRule>
  </conditionalFormatting>
  <dataValidations count="4">
    <dataValidation type="list" allowBlank="1" showInputMessage="1" showErrorMessage="1" sqref="C2:C24" xr:uid="{00000000-0002-0000-0300-000000000000}">
      <formula1>"F,M"</formula1>
    </dataValidation>
    <dataValidation type="list" allowBlank="1" showInputMessage="1" sqref="D2:D24" xr:uid="{00000000-0002-0000-0300-000001000000}">
      <formula1>"C57BL/6,C57BL/6J,THMYCN (het),WT,WT C57BL/6N with Flank KPC tumor,alb-/-,ob/ob"</formula1>
    </dataValidation>
    <dataValidation type="list" allowBlank="1" showInputMessage="1" sqref="H2:H24" xr:uid="{00000000-0002-0000-0300-000003000000}">
      <formula1>"Keto diet bioserv S3666,LabDiet #5053,LabDiet 5001,LabDiet 5010,LabDiet Rodent 5001,PicoLab Rodent 20 5053,PicoLab Rodent 20 5054,PicoLab Rodent 20 5055,PicoLab Rodent 20 5056,TestDiet 5B62_Ser/Gly-Free,..."</formula1>
    </dataValidation>
    <dataValidation type="list" allowBlank="1" showInputMessage="1" sqref="I2:I24" xr:uid="{00000000-0002-0000-0300-000004000000}">
      <formula1>"fasted,fed,refed"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300-000002000000}">
          <x14:formula1>
            <xm:f>Infusates!$E$2:$E$34</xm:f>
          </x14:formula1>
          <xm:sqref>F2:F24</xm:sqref>
        </x14:dataValidation>
        <x14:dataValidation type="list" allowBlank="1" showInputMessage="1" xr:uid="{00000000-0002-0000-0300-000005000000}">
          <x14:formula1>
            <xm:f>Treatments!$A$2:$A$21</xm:f>
          </x14:formula1>
          <xm:sqref>J2:J24</xm:sqref>
        </x14:dataValidation>
        <x14:dataValidation type="list" allowBlank="1" showInputMessage="1" xr:uid="{00000000-0002-0000-0300-000006000000}">
          <x14:formula1>
            <xm:f>Study!$A$2:$A$21</xm:f>
          </x14:formula1>
          <xm:sqref>K2:K24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heetViews>
  <sheetFormatPr baseColWidth="10" defaultColWidth="8.83203125" defaultRowHeight="15"/>
  <cols>
    <col min="1" max="1" width="16.6640625" bestFit="1" customWidth="1"/>
    <col min="2" max="2" width="14" bestFit="1" customWidth="1"/>
    <col min="3" max="3" width="16.5" bestFit="1" customWidth="1"/>
    <col min="4" max="4" width="17.6640625" bestFit="1" customWidth="1"/>
    <col min="5" max="5" width="14.83203125" bestFit="1" customWidth="1"/>
    <col min="6" max="6" width="11.6640625" bestFit="1" customWidth="1"/>
  </cols>
  <sheetData>
    <row r="1" spans="1:6">
      <c r="A1" s="1" t="s">
        <v>60</v>
      </c>
      <c r="B1" s="1" t="s">
        <v>61</v>
      </c>
      <c r="C1" s="1" t="s">
        <v>62</v>
      </c>
      <c r="D1" s="1" t="s">
        <v>63</v>
      </c>
      <c r="E1" s="1" t="s">
        <v>64</v>
      </c>
      <c r="F1" s="1" t="s">
        <v>65</v>
      </c>
    </row>
    <row r="2" spans="1:6">
      <c r="A2" t="s">
        <v>66</v>
      </c>
      <c r="B2" t="s">
        <v>70</v>
      </c>
      <c r="C2" t="s">
        <v>71</v>
      </c>
      <c r="D2" t="s">
        <v>72</v>
      </c>
      <c r="E2">
        <v>150</v>
      </c>
      <c r="F2" t="s">
        <v>51</v>
      </c>
    </row>
    <row r="3" spans="1:6">
      <c r="A3" t="s">
        <v>67</v>
      </c>
      <c r="B3" t="s">
        <v>70</v>
      </c>
      <c r="C3" t="s">
        <v>71</v>
      </c>
      <c r="D3" t="s">
        <v>72</v>
      </c>
      <c r="E3">
        <v>150</v>
      </c>
      <c r="F3" t="s">
        <v>52</v>
      </c>
    </row>
    <row r="4" spans="1:6">
      <c r="A4" t="s">
        <v>68</v>
      </c>
      <c r="B4" t="s">
        <v>70</v>
      </c>
      <c r="C4" t="s">
        <v>71</v>
      </c>
      <c r="D4" t="s">
        <v>72</v>
      </c>
      <c r="E4">
        <v>150</v>
      </c>
      <c r="F4" t="s">
        <v>53</v>
      </c>
    </row>
    <row r="5" spans="1:6">
      <c r="A5" t="s">
        <v>69</v>
      </c>
      <c r="B5" t="s">
        <v>70</v>
      </c>
      <c r="C5" t="s">
        <v>71</v>
      </c>
      <c r="D5" t="s">
        <v>72</v>
      </c>
      <c r="E5">
        <v>150</v>
      </c>
      <c r="F5" t="s">
        <v>54</v>
      </c>
    </row>
  </sheetData>
  <conditionalFormatting sqref="A1:D1">
    <cfRule type="notContainsErrors" dxfId="20" priority="1">
      <formula>NOT(ISERROR(A1))</formula>
    </cfRule>
  </conditionalFormatting>
  <conditionalFormatting sqref="E1">
    <cfRule type="notContainsErrors" dxfId="19" priority="5">
      <formula>NOT(ISERROR(E1))</formula>
    </cfRule>
  </conditionalFormatting>
  <conditionalFormatting sqref="F1">
    <cfRule type="notContainsErrors" dxfId="18" priority="6">
      <formula>NOT(ISERROR(F1))</formula>
    </cfRule>
  </conditionalFormatting>
  <dataValidations count="1">
    <dataValidation type="list" allowBlank="1" showInputMessage="1" sqref="C2:C24" xr:uid="{00000000-0002-0000-0400-000000000000}">
      <formula1>"Asael Roichman,Caroline Bartman,Connor Jankowski,Jenna AbuSalim,Lingfan Liang,Marc Bornstein,Matthew McBride,Michael Neinast,Sheng Hui,Tara TeSlaa,Won Dong Lee,Xianfeng Zeng,Zhaoyue Zhang,Zihong Chen"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xr:uid="{00000000-0002-0000-0400-000001000000}">
          <x14:formula1>
            <xm:f>Tissues!$A$2:$A$55</xm:f>
          </x14:formula1>
          <xm:sqref>D2:D24</xm:sqref>
        </x14:dataValidation>
        <x14:dataValidation type="list" allowBlank="1" showInputMessage="1" xr:uid="{00000000-0002-0000-0400-000002000000}">
          <x14:formula1>
            <xm:f>Animals!$A$2:$A$24</xm:f>
          </x14:formula1>
          <xm:sqref>F2:F24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F2" sqref="F2"/>
    </sheetView>
  </sheetViews>
  <sheetFormatPr baseColWidth="10" defaultColWidth="8.83203125" defaultRowHeight="15"/>
  <cols>
    <col min="1" max="1" width="44.1640625" style="2" bestFit="1" customWidth="1"/>
    <col min="2" max="2" width="10" bestFit="1" customWidth="1"/>
    <col min="3" max="3" width="15.6640625" bestFit="1" customWidth="1"/>
    <col min="4" max="4" width="9.83203125" bestFit="1" customWidth="1"/>
    <col min="5" max="5" width="7.5" bestFit="1" customWidth="1"/>
    <col min="6" max="6" width="5.6640625" bestFit="1" customWidth="1"/>
  </cols>
  <sheetData>
    <row r="1" spans="1:6">
      <c r="A1" s="1" t="s">
        <v>73</v>
      </c>
      <c r="B1" s="1" t="s">
        <v>74</v>
      </c>
      <c r="C1" s="1" t="s">
        <v>75</v>
      </c>
      <c r="D1" s="1" t="s">
        <v>76</v>
      </c>
      <c r="E1" s="1" t="s">
        <v>77</v>
      </c>
      <c r="F1" s="1" t="s">
        <v>78</v>
      </c>
    </row>
    <row r="2" spans="1:6">
      <c r="A2" s="2" t="str">
        <f t="shared" ref="A2:A22" ca="1" si="0">IF(OR(NOT(ISBLANK(INDIRECT("B" &amp; ROW()))),NOT(ISBLANK(INDIRECT("C" &amp; ROW()))),NOT(ISBLANK(INDIRECT("D" &amp; ROW()))),NOT(ISBLANK(INDIRECT("E" &amp; ROW()))),),_xlfn.TEXTJOIN(", ", FALSE, INDIRECT("B" &amp; ROW()), INDIRECT("C" &amp; ROW()), INDIRECT("D" &amp; ROW()), IF(ISBLANK(INDIRECT("E" &amp; ROW())),"",TEXT(INDIRECT("E" &amp; ROW()),"yyyy-mm-dd"))),"")</f>
        <v>anonymous, polar-HILIC-25-min, unknown, 2021-04-29</v>
      </c>
      <c r="B2" t="s">
        <v>71</v>
      </c>
      <c r="C2" t="s">
        <v>157</v>
      </c>
      <c r="D2" t="s">
        <v>79</v>
      </c>
      <c r="E2" s="3">
        <v>44315</v>
      </c>
    </row>
    <row r="3" spans="1:6">
      <c r="A3" s="2" t="str">
        <f t="shared" ca="1" si="0"/>
        <v/>
      </c>
    </row>
    <row r="4" spans="1:6">
      <c r="A4" s="2" t="str">
        <f t="shared" ca="1" si="0"/>
        <v/>
      </c>
    </row>
    <row r="5" spans="1:6">
      <c r="A5" s="2" t="str">
        <f t="shared" ca="1" si="0"/>
        <v/>
      </c>
    </row>
    <row r="6" spans="1:6">
      <c r="A6" s="2" t="str">
        <f t="shared" ca="1" si="0"/>
        <v/>
      </c>
    </row>
    <row r="7" spans="1:6">
      <c r="A7" s="2" t="str">
        <f t="shared" ca="1" si="0"/>
        <v/>
      </c>
    </row>
    <row r="8" spans="1:6">
      <c r="A8" s="2" t="str">
        <f t="shared" ca="1" si="0"/>
        <v/>
      </c>
    </row>
    <row r="9" spans="1:6">
      <c r="A9" s="2" t="str">
        <f t="shared" ca="1" si="0"/>
        <v/>
      </c>
    </row>
    <row r="10" spans="1:6">
      <c r="A10" s="2" t="str">
        <f t="shared" ca="1" si="0"/>
        <v/>
      </c>
    </row>
    <row r="11" spans="1:6">
      <c r="A11" s="2" t="str">
        <f t="shared" ca="1" si="0"/>
        <v/>
      </c>
    </row>
    <row r="12" spans="1:6">
      <c r="A12" s="2" t="str">
        <f t="shared" ca="1" si="0"/>
        <v/>
      </c>
    </row>
    <row r="13" spans="1:6">
      <c r="A13" s="2" t="str">
        <f t="shared" ca="1" si="0"/>
        <v/>
      </c>
    </row>
    <row r="14" spans="1:6">
      <c r="A14" s="2" t="str">
        <f t="shared" ca="1" si="0"/>
        <v/>
      </c>
    </row>
    <row r="15" spans="1:6">
      <c r="A15" s="2" t="str">
        <f t="shared" ca="1" si="0"/>
        <v/>
      </c>
    </row>
    <row r="16" spans="1:6">
      <c r="A16" s="2" t="str">
        <f t="shared" ca="1" si="0"/>
        <v/>
      </c>
    </row>
    <row r="17" spans="1:1">
      <c r="A17" s="2" t="str">
        <f t="shared" ca="1" si="0"/>
        <v/>
      </c>
    </row>
    <row r="18" spans="1:1">
      <c r="A18" s="2" t="str">
        <f t="shared" ca="1" si="0"/>
        <v/>
      </c>
    </row>
    <row r="19" spans="1:1">
      <c r="A19" s="2" t="str">
        <f t="shared" ca="1" si="0"/>
        <v/>
      </c>
    </row>
    <row r="20" spans="1:1">
      <c r="A20" s="2" t="str">
        <f t="shared" ca="1" si="0"/>
        <v/>
      </c>
    </row>
    <row r="21" spans="1:1">
      <c r="A21" s="2" t="str">
        <f t="shared" ca="1" si="0"/>
        <v/>
      </c>
    </row>
    <row r="22" spans="1:1">
      <c r="A22" s="2" t="str">
        <f t="shared" ca="1" si="0"/>
        <v/>
      </c>
    </row>
  </sheetData>
  <conditionalFormatting sqref="A1">
    <cfRule type="notContainsErrors" dxfId="17" priority="1">
      <formula>NOT(ISERROR(A1))</formula>
    </cfRule>
  </conditionalFormatting>
  <conditionalFormatting sqref="B1:E1">
    <cfRule type="notContainsErrors" dxfId="16" priority="2">
      <formula>NOT(ISERROR(B1))</formula>
    </cfRule>
  </conditionalFormatting>
  <conditionalFormatting sqref="F1">
    <cfRule type="notContainsErrors" dxfId="15" priority="6">
      <formula>NOT(ISERROR(F1))</formula>
    </cfRule>
  </conditionalFormatting>
  <dataValidations count="2">
    <dataValidation type="list" allowBlank="1" showInputMessage="1" sqref="B2:B21" xr:uid="{00000000-0002-0000-0500-000000000000}">
      <formula1>"Asael Roichman,Caroline Bartman,Connor Jankowski,Lingfan Liang,Marc Bornstein,Matthew McBride,Michael Neinast,Ricardo Cordova,Sheng Hui,Wenyun Lu,Won Dong Lee,Xianfeng Zeng,Zihong Chen"</formula1>
    </dataValidation>
    <dataValidation type="list" allowBlank="1" showInputMessage="1" showErrorMessage="1" sqref="D2:D21" xr:uid="{00000000-0002-0000-0500-000002000000}">
      <formula1>"Exploris240,Exploris480,ExplorisMX,QE,QE2,QEHF,QEPlus,unknown"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1000000}">
          <x14:formula1>
            <xm:f>'LC Protocols'!$A$2:$A$25</xm:f>
          </x14:formula1>
          <xm:sqref>C2:C21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election activeCell="A3" sqref="A3"/>
    </sheetView>
  </sheetViews>
  <sheetFormatPr baseColWidth="10" defaultColWidth="8.83203125" defaultRowHeight="15"/>
  <cols>
    <col min="1" max="1" width="51.33203125" bestFit="1" customWidth="1"/>
    <col min="2" max="2" width="9.83203125" bestFit="1" customWidth="1"/>
    <col min="3" max="3" width="44.1640625" bestFit="1" customWidth="1"/>
  </cols>
  <sheetData>
    <row r="1" spans="1:3">
      <c r="A1" s="1" t="s">
        <v>80</v>
      </c>
      <c r="B1" s="1" t="s">
        <v>81</v>
      </c>
      <c r="C1" s="1" t="s">
        <v>82</v>
      </c>
    </row>
    <row r="2" spans="1:3">
      <c r="A2" t="s">
        <v>205</v>
      </c>
      <c r="B2" t="s">
        <v>169</v>
      </c>
      <c r="C2" t="s">
        <v>170</v>
      </c>
    </row>
  </sheetData>
  <conditionalFormatting sqref="A1">
    <cfRule type="notContainsErrors" dxfId="14" priority="1">
      <formula>NOT(ISERROR(A1))</formula>
    </cfRule>
  </conditionalFormatting>
  <conditionalFormatting sqref="B1">
    <cfRule type="notContainsErrors" dxfId="13" priority="2">
      <formula>NOT(ISERROR(B1))</formula>
    </cfRule>
  </conditionalFormatting>
  <conditionalFormatting sqref="C1">
    <cfRule type="notContainsErrors" dxfId="12" priority="3">
      <formula>NOT(ISERROR(C1))</formula>
    </cfRule>
  </conditionalFormatting>
  <dataValidations count="1">
    <dataValidation type="list" allowBlank="1" showInputMessage="1" showErrorMessage="1" sqref="B2:B20" xr:uid="{00000000-0002-0000-0600-000000000000}">
      <formula1>"accucor,isoautocorr,isocorr,unicorr"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600-000001000000}">
          <x14:formula1>
            <xm:f>Sequences!$A$2:$A$21</xm:f>
          </x14:formula1>
          <xm:sqref>C2:C20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tabSelected="1" workbookViewId="0">
      <selection activeCell="A2" sqref="A2"/>
    </sheetView>
  </sheetViews>
  <sheetFormatPr baseColWidth="10" defaultColWidth="8.83203125" defaultRowHeight="15"/>
  <cols>
    <col min="1" max="1" width="15.1640625" bestFit="1" customWidth="1"/>
    <col min="2" max="2" width="16.83203125" bestFit="1" customWidth="1"/>
    <col min="3" max="3" width="14.83203125" bestFit="1" customWidth="1"/>
    <col min="4" max="4" width="22.33203125" bestFit="1" customWidth="1"/>
    <col min="5" max="5" width="44.1640625" bestFit="1" customWidth="1"/>
    <col min="6" max="6" width="4.33203125" bestFit="1" customWidth="1"/>
  </cols>
  <sheetData>
    <row r="1" spans="1:6">
      <c r="A1" s="1" t="s">
        <v>83</v>
      </c>
      <c r="B1" s="1" t="s">
        <v>84</v>
      </c>
      <c r="C1" s="1" t="s">
        <v>85</v>
      </c>
      <c r="D1" s="1" t="s">
        <v>86</v>
      </c>
      <c r="E1" s="1" t="s">
        <v>87</v>
      </c>
      <c r="F1" s="1" t="s">
        <v>88</v>
      </c>
    </row>
    <row r="2" spans="1:6">
      <c r="A2" t="s">
        <v>66</v>
      </c>
      <c r="B2" t="s">
        <v>66</v>
      </c>
      <c r="D2" t="s">
        <v>171</v>
      </c>
      <c r="E2" t="s">
        <v>170</v>
      </c>
    </row>
    <row r="3" spans="1:6">
      <c r="A3" t="s">
        <v>67</v>
      </c>
      <c r="B3" t="s">
        <v>67</v>
      </c>
      <c r="D3" t="s">
        <v>171</v>
      </c>
      <c r="E3" t="s">
        <v>170</v>
      </c>
    </row>
    <row r="4" spans="1:6">
      <c r="A4" t="s">
        <v>68</v>
      </c>
      <c r="B4" t="s">
        <v>68</v>
      </c>
      <c r="D4" t="s">
        <v>171</v>
      </c>
      <c r="E4" t="s">
        <v>170</v>
      </c>
    </row>
    <row r="5" spans="1:6">
      <c r="A5" t="s">
        <v>69</v>
      </c>
      <c r="B5" t="s">
        <v>69</v>
      </c>
      <c r="D5" t="s">
        <v>171</v>
      </c>
      <c r="E5" t="s">
        <v>170</v>
      </c>
    </row>
  </sheetData>
  <conditionalFormatting sqref="A1:B1">
    <cfRule type="notContainsErrors" dxfId="11" priority="1">
      <formula>NOT(ISERROR(A1))</formula>
    </cfRule>
  </conditionalFormatting>
  <conditionalFormatting sqref="C1:F1">
    <cfRule type="notContainsErrors" dxfId="10" priority="3">
      <formula>NOT(ISERROR(C1))</formula>
    </cfRule>
  </conditionalFormatting>
  <dataValidations count="1">
    <dataValidation type="list" allowBlank="1" showInputMessage="1" showErrorMessage="1" sqref="F2:F20" xr:uid="{00000000-0002-0000-0700-000003000000}">
      <formula1>",skip"</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700-000000000000}">
          <x14:formula1>
            <xm:f>Samples!$A$2:$A$24</xm:f>
          </x14:formula1>
          <xm:sqref>A6:A20</xm:sqref>
        </x14:dataValidation>
        <x14:dataValidation type="list" allowBlank="1" showInputMessage="1" xr:uid="{00000000-0002-0000-0700-000001000000}">
          <x14:formula1>
            <xm:f>'Peak Annotation Files'!$A$2:$A$20</xm:f>
          </x14:formula1>
          <xm:sqref>D6:D20</xm:sqref>
        </x14:dataValidation>
        <x14:dataValidation type="list" allowBlank="1" showInputMessage="1" xr:uid="{00000000-0002-0000-0700-000002000000}">
          <x14:formula1>
            <xm:f>Sequences!$A$2:$A$21</xm:f>
          </x14:formula1>
          <xm:sqref>E6:E20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
  <sheetViews>
    <sheetView workbookViewId="0"/>
  </sheetViews>
  <sheetFormatPr baseColWidth="10" defaultColWidth="8.83203125" defaultRowHeight="15"/>
  <cols>
    <col min="1" max="1" width="18.5" bestFit="1" customWidth="1"/>
    <col min="2" max="2" width="27.5" bestFit="1" customWidth="1"/>
    <col min="3" max="3" width="21.6640625" bestFit="1" customWidth="1"/>
    <col min="4" max="4" width="16.5" bestFit="1" customWidth="1"/>
    <col min="5" max="5" width="0" hidden="1" customWidth="1"/>
  </cols>
  <sheetData>
    <row r="1" spans="1:5">
      <c r="A1" s="1" t="s">
        <v>89</v>
      </c>
      <c r="B1" s="1" t="s">
        <v>90</v>
      </c>
      <c r="C1" s="1" t="s">
        <v>91</v>
      </c>
      <c r="D1" s="1" t="s">
        <v>92</v>
      </c>
      <c r="E1" s="1" t="s">
        <v>93</v>
      </c>
    </row>
  </sheetData>
  <conditionalFormatting sqref="A1:E1">
    <cfRule type="notContainsErrors" dxfId="9" priority="1">
      <formula>NOT(ISERROR(A1))</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selection activeCell="C2" sqref="C2"/>
    </sheetView>
  </sheetViews>
  <sheetFormatPr baseColWidth="10" defaultColWidth="8.83203125" defaultRowHeight="15"/>
  <cols>
    <col min="1" max="1" width="17" bestFit="1" customWidth="1"/>
    <col min="2" max="2" width="59.5" bestFit="1" customWidth="1"/>
  </cols>
  <sheetData>
    <row r="1" spans="1:2">
      <c r="A1" s="1" t="s">
        <v>94</v>
      </c>
      <c r="B1" s="1" t="s">
        <v>95</v>
      </c>
    </row>
    <row r="2" spans="1:2">
      <c r="A2" t="s">
        <v>59</v>
      </c>
      <c r="B2" t="s">
        <v>204</v>
      </c>
    </row>
  </sheetData>
  <conditionalFormatting sqref="A1">
    <cfRule type="notContainsErrors" dxfId="8" priority="1">
      <formula>NOT(ISERROR(A1))</formula>
    </cfRule>
  </conditionalFormatting>
  <conditionalFormatting sqref="B1">
    <cfRule type="notContainsErrors" dxfId="7" priority="2">
      <formula>NOT(ISERROR(B1))</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6"/>
  <sheetViews>
    <sheetView topLeftCell="A13" workbookViewId="0">
      <selection activeCell="B32" sqref="B32"/>
    </sheetView>
  </sheetViews>
  <sheetFormatPr baseColWidth="10" defaultColWidth="8.83203125" defaultRowHeight="15"/>
  <cols>
    <col min="1" max="1" width="40" bestFit="1" customWidth="1"/>
    <col min="2" max="2" width="70" bestFit="1" customWidth="1"/>
  </cols>
  <sheetData>
    <row r="1" spans="1:2">
      <c r="A1" s="1" t="s">
        <v>63</v>
      </c>
      <c r="B1" s="1" t="s">
        <v>1</v>
      </c>
    </row>
    <row r="2" spans="1:2">
      <c r="A2" t="s">
        <v>96</v>
      </c>
      <c r="B2" t="s">
        <v>130</v>
      </c>
    </row>
    <row r="3" spans="1:2">
      <c r="A3" t="s">
        <v>97</v>
      </c>
      <c r="B3" t="s">
        <v>131</v>
      </c>
    </row>
    <row r="4" spans="1:2">
      <c r="A4" t="s">
        <v>98</v>
      </c>
      <c r="B4" t="s">
        <v>132</v>
      </c>
    </row>
    <row r="5" spans="1:2">
      <c r="A5" t="s">
        <v>99</v>
      </c>
      <c r="B5" t="s">
        <v>133</v>
      </c>
    </row>
    <row r="6" spans="1:2">
      <c r="A6" t="s">
        <v>100</v>
      </c>
      <c r="B6" t="s">
        <v>134</v>
      </c>
    </row>
    <row r="7" spans="1:2">
      <c r="A7" t="s">
        <v>101</v>
      </c>
      <c r="B7" t="s">
        <v>135</v>
      </c>
    </row>
    <row r="8" spans="1:2">
      <c r="A8" t="s">
        <v>102</v>
      </c>
      <c r="B8" t="s">
        <v>102</v>
      </c>
    </row>
    <row r="9" spans="1:2">
      <c r="A9" t="s">
        <v>103</v>
      </c>
      <c r="B9" t="s">
        <v>103</v>
      </c>
    </row>
    <row r="10" spans="1:2">
      <c r="A10" t="s">
        <v>104</v>
      </c>
      <c r="B10" t="s">
        <v>104</v>
      </c>
    </row>
    <row r="11" spans="1:2">
      <c r="A11" t="s">
        <v>105</v>
      </c>
      <c r="B11" t="s">
        <v>105</v>
      </c>
    </row>
    <row r="12" spans="1:2">
      <c r="A12" t="s">
        <v>106</v>
      </c>
      <c r="B12" t="s">
        <v>136</v>
      </c>
    </row>
    <row r="13" spans="1:2">
      <c r="A13" t="s">
        <v>107</v>
      </c>
      <c r="B13" t="s">
        <v>137</v>
      </c>
    </row>
    <row r="14" spans="1:2">
      <c r="A14" t="s">
        <v>108</v>
      </c>
      <c r="B14" t="s">
        <v>108</v>
      </c>
    </row>
    <row r="15" spans="1:2">
      <c r="A15" t="s">
        <v>109</v>
      </c>
      <c r="B15" t="s">
        <v>138</v>
      </c>
    </row>
    <row r="16" spans="1:2">
      <c r="A16" t="s">
        <v>110</v>
      </c>
      <c r="B16" t="s">
        <v>110</v>
      </c>
    </row>
    <row r="17" spans="1:2">
      <c r="A17" t="s">
        <v>111</v>
      </c>
      <c r="B17" t="s">
        <v>139</v>
      </c>
    </row>
    <row r="18" spans="1:2">
      <c r="A18" t="s">
        <v>112</v>
      </c>
      <c r="B18" t="s">
        <v>140</v>
      </c>
    </row>
    <row r="19" spans="1:2">
      <c r="A19" t="s">
        <v>113</v>
      </c>
      <c r="B19" t="s">
        <v>113</v>
      </c>
    </row>
    <row r="20" spans="1:2">
      <c r="A20" t="s">
        <v>72</v>
      </c>
      <c r="B20" t="s">
        <v>141</v>
      </c>
    </row>
    <row r="21" spans="1:2">
      <c r="A21" t="s">
        <v>114</v>
      </c>
      <c r="B21" t="s">
        <v>142</v>
      </c>
    </row>
    <row r="22" spans="1:2">
      <c r="A22" t="s">
        <v>115</v>
      </c>
      <c r="B22" t="s">
        <v>143</v>
      </c>
    </row>
    <row r="23" spans="1:2">
      <c r="A23" t="s">
        <v>116</v>
      </c>
      <c r="B23" t="s">
        <v>144</v>
      </c>
    </row>
    <row r="24" spans="1:2">
      <c r="A24" t="s">
        <v>117</v>
      </c>
      <c r="B24" t="s">
        <v>117</v>
      </c>
    </row>
    <row r="25" spans="1:2">
      <c r="A25" t="s">
        <v>118</v>
      </c>
      <c r="B25" t="s">
        <v>145</v>
      </c>
    </row>
    <row r="26" spans="1:2">
      <c r="A26" t="s">
        <v>119</v>
      </c>
      <c r="B26" t="s">
        <v>146</v>
      </c>
    </row>
    <row r="27" spans="1:2">
      <c r="A27" t="s">
        <v>120</v>
      </c>
      <c r="B27" t="s">
        <v>120</v>
      </c>
    </row>
    <row r="28" spans="1:2">
      <c r="A28" t="s">
        <v>121</v>
      </c>
      <c r="B28" t="s">
        <v>121</v>
      </c>
    </row>
    <row r="29" spans="1:2">
      <c r="A29" t="s">
        <v>122</v>
      </c>
      <c r="B29" t="s">
        <v>147</v>
      </c>
    </row>
    <row r="30" spans="1:2">
      <c r="A30" t="s">
        <v>123</v>
      </c>
      <c r="B30" t="s">
        <v>148</v>
      </c>
    </row>
    <row r="31" spans="1:2">
      <c r="A31" t="s">
        <v>124</v>
      </c>
      <c r="B31" t="s">
        <v>149</v>
      </c>
    </row>
    <row r="32" spans="1:2">
      <c r="A32" t="s">
        <v>125</v>
      </c>
      <c r="B32" t="s">
        <v>125</v>
      </c>
    </row>
    <row r="33" spans="1:2">
      <c r="A33" t="s">
        <v>126</v>
      </c>
      <c r="B33" t="s">
        <v>126</v>
      </c>
    </row>
    <row r="34" spans="1:2">
      <c r="A34" t="s">
        <v>127</v>
      </c>
      <c r="B34" t="s">
        <v>127</v>
      </c>
    </row>
    <row r="35" spans="1:2">
      <c r="A35" t="s">
        <v>128</v>
      </c>
      <c r="B35" t="s">
        <v>203</v>
      </c>
    </row>
    <row r="36" spans="1:2">
      <c r="A36" t="s">
        <v>129</v>
      </c>
      <c r="B36" t="s">
        <v>150</v>
      </c>
    </row>
  </sheetData>
  <conditionalFormatting sqref="A1:B1">
    <cfRule type="notContainsErrors" dxfId="6" priority="1">
      <formula>NOT(ISERROR(A1))</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2"/>
  <sheetViews>
    <sheetView workbookViewId="0">
      <selection activeCell="A2" sqref="A2"/>
    </sheetView>
  </sheetViews>
  <sheetFormatPr baseColWidth="10" defaultColWidth="8.83203125" defaultRowHeight="15"/>
  <cols>
    <col min="1" max="1" width="10.83203125" bestFit="1" customWidth="1"/>
    <col min="2" max="2" width="13" bestFit="1" customWidth="1"/>
    <col min="3" max="3" width="10.5" bestFit="1" customWidth="1"/>
    <col min="4" max="4" width="29" bestFit="1" customWidth="1"/>
  </cols>
  <sheetData>
    <row r="1" spans="1:4">
      <c r="A1" s="1" t="s">
        <v>5</v>
      </c>
      <c r="B1" s="1" t="s">
        <v>151</v>
      </c>
      <c r="C1" s="1" t="s">
        <v>152</v>
      </c>
      <c r="D1" s="1" t="s">
        <v>153</v>
      </c>
    </row>
    <row r="2" spans="1:4">
      <c r="A2" t="s">
        <v>11</v>
      </c>
      <c r="B2" t="s">
        <v>172</v>
      </c>
      <c r="C2" t="s">
        <v>173</v>
      </c>
      <c r="D2" t="s">
        <v>174</v>
      </c>
    </row>
    <row r="3" spans="1:4">
      <c r="A3" t="s">
        <v>16</v>
      </c>
      <c r="B3" t="s">
        <v>175</v>
      </c>
      <c r="C3" t="s">
        <v>176</v>
      </c>
      <c r="D3" t="s">
        <v>177</v>
      </c>
    </row>
    <row r="4" spans="1:4">
      <c r="A4" t="s">
        <v>178</v>
      </c>
      <c r="B4" t="s">
        <v>179</v>
      </c>
      <c r="C4" t="s">
        <v>173</v>
      </c>
      <c r="D4" t="s">
        <v>178</v>
      </c>
    </row>
    <row r="5" spans="1:4">
      <c r="A5" t="s">
        <v>180</v>
      </c>
      <c r="B5" t="s">
        <v>181</v>
      </c>
      <c r="C5" t="s">
        <v>173</v>
      </c>
      <c r="D5" t="s">
        <v>182</v>
      </c>
    </row>
    <row r="6" spans="1:4">
      <c r="A6" t="s">
        <v>183</v>
      </c>
      <c r="B6" t="s">
        <v>184</v>
      </c>
      <c r="C6" t="s">
        <v>173</v>
      </c>
      <c r="D6" t="s">
        <v>183</v>
      </c>
    </row>
    <row r="7" spans="1:4">
      <c r="A7" t="s">
        <v>185</v>
      </c>
      <c r="B7" t="s">
        <v>186</v>
      </c>
      <c r="C7" t="s">
        <v>173</v>
      </c>
      <c r="D7" t="s">
        <v>187</v>
      </c>
    </row>
    <row r="8" spans="1:4">
      <c r="A8" t="s">
        <v>188</v>
      </c>
      <c r="B8" t="s">
        <v>189</v>
      </c>
      <c r="C8" t="s">
        <v>173</v>
      </c>
      <c r="D8" t="s">
        <v>190</v>
      </c>
    </row>
    <row r="9" spans="1:4">
      <c r="A9" t="s">
        <v>12</v>
      </c>
      <c r="B9" t="s">
        <v>192</v>
      </c>
      <c r="C9" t="s">
        <v>191</v>
      </c>
      <c r="D9" t="s">
        <v>193</v>
      </c>
    </row>
    <row r="10" spans="1:4">
      <c r="A10" t="s">
        <v>13</v>
      </c>
      <c r="B10" t="s">
        <v>194</v>
      </c>
      <c r="C10" t="s">
        <v>195</v>
      </c>
      <c r="D10" t="s">
        <v>196</v>
      </c>
    </row>
    <row r="11" spans="1:4">
      <c r="A11" t="s">
        <v>14</v>
      </c>
      <c r="B11" t="s">
        <v>198</v>
      </c>
      <c r="C11" t="s">
        <v>197</v>
      </c>
      <c r="D11" t="s">
        <v>199</v>
      </c>
    </row>
    <row r="12" spans="1:4">
      <c r="A12" t="s">
        <v>15</v>
      </c>
      <c r="B12" t="s">
        <v>201</v>
      </c>
      <c r="C12" t="s">
        <v>200</v>
      </c>
      <c r="D12" t="s">
        <v>202</v>
      </c>
    </row>
  </sheetData>
  <conditionalFormatting sqref="A1:C1">
    <cfRule type="notContainsErrors" dxfId="5" priority="1">
      <formula>NOT(ISERROR(A1))</formula>
    </cfRule>
  </conditionalFormatting>
  <conditionalFormatting sqref="D1">
    <cfRule type="notContainsErrors" dxfId="4" priority="4">
      <formula>NOT(ISERROR(D1))</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6"/>
  <sheetViews>
    <sheetView workbookViewId="0"/>
  </sheetViews>
  <sheetFormatPr baseColWidth="10" defaultColWidth="8.83203125" defaultRowHeight="15"/>
  <cols>
    <col min="1" max="1" width="37.5" style="2" bestFit="1" customWidth="1"/>
    <col min="2" max="2" width="30.5" bestFit="1" customWidth="1"/>
    <col min="3" max="3" width="10.83203125" bestFit="1" customWidth="1"/>
    <col min="4" max="4" width="255.6640625" bestFit="1" customWidth="1"/>
  </cols>
  <sheetData>
    <row r="1" spans="1:4">
      <c r="A1" s="1" t="s">
        <v>0</v>
      </c>
      <c r="B1" s="1" t="s">
        <v>154</v>
      </c>
      <c r="C1" s="1" t="s">
        <v>155</v>
      </c>
      <c r="D1" s="1" t="s">
        <v>1</v>
      </c>
    </row>
    <row r="2" spans="1:4">
      <c r="A2" s="2" t="s">
        <v>156</v>
      </c>
      <c r="B2" t="s">
        <v>160</v>
      </c>
      <c r="C2">
        <v>25</v>
      </c>
      <c r="D2" t="s">
        <v>164</v>
      </c>
    </row>
    <row r="3" spans="1:4">
      <c r="A3" s="2" t="s">
        <v>157</v>
      </c>
      <c r="B3" t="s">
        <v>161</v>
      </c>
      <c r="C3">
        <v>25</v>
      </c>
      <c r="D3" t="s">
        <v>165</v>
      </c>
    </row>
    <row r="4" spans="1:4">
      <c r="A4" s="2" t="s">
        <v>158</v>
      </c>
      <c r="B4" t="s">
        <v>162</v>
      </c>
      <c r="C4">
        <v>25</v>
      </c>
      <c r="D4" t="s">
        <v>166</v>
      </c>
    </row>
    <row r="5" spans="1:4">
      <c r="A5" s="2" t="s">
        <v>159</v>
      </c>
      <c r="B5" t="s">
        <v>163</v>
      </c>
      <c r="C5">
        <v>25</v>
      </c>
      <c r="D5" t="s">
        <v>167</v>
      </c>
    </row>
    <row r="6" spans="1:4">
      <c r="A6" s="2" t="s">
        <v>79</v>
      </c>
      <c r="B6" t="s">
        <v>79</v>
      </c>
      <c r="D6" t="s">
        <v>168</v>
      </c>
    </row>
    <row r="7" spans="1:4">
      <c r="A7" s="2" t="str">
        <f t="shared" ref="A7:A26" ca="1" si="0">IF(OR(ISBLANK(INDIRECT("B" &amp; ROW())),ISBLANK(INDIRECT("C" &amp; ROW()))),"",CONCATENATE(INDIRECT("B" &amp; ROW()),"-",INDIRECT("C" &amp; ROW()),"-min"))</f>
        <v/>
      </c>
    </row>
    <row r="8" spans="1:4">
      <c r="A8" s="2" t="str">
        <f t="shared" ca="1" si="0"/>
        <v/>
      </c>
    </row>
    <row r="9" spans="1:4">
      <c r="A9" s="2" t="str">
        <f t="shared" ca="1" si="0"/>
        <v/>
      </c>
    </row>
    <row r="10" spans="1:4">
      <c r="A10" s="2" t="str">
        <f t="shared" ca="1" si="0"/>
        <v/>
      </c>
    </row>
    <row r="11" spans="1:4">
      <c r="A11" s="2" t="str">
        <f t="shared" ca="1" si="0"/>
        <v/>
      </c>
    </row>
    <row r="12" spans="1:4">
      <c r="A12" s="2" t="str">
        <f t="shared" ca="1" si="0"/>
        <v/>
      </c>
    </row>
    <row r="13" spans="1:4">
      <c r="A13" s="2" t="str">
        <f t="shared" ca="1" si="0"/>
        <v/>
      </c>
    </row>
    <row r="14" spans="1:4">
      <c r="A14" s="2" t="str">
        <f t="shared" ca="1" si="0"/>
        <v/>
      </c>
    </row>
    <row r="15" spans="1:4">
      <c r="A15" s="2" t="str">
        <f t="shared" ca="1" si="0"/>
        <v/>
      </c>
    </row>
    <row r="16" spans="1:4">
      <c r="A16" s="2" t="str">
        <f t="shared" ca="1" si="0"/>
        <v/>
      </c>
    </row>
    <row r="17" spans="1:1">
      <c r="A17" s="2" t="str">
        <f t="shared" ca="1" si="0"/>
        <v/>
      </c>
    </row>
    <row r="18" spans="1:1">
      <c r="A18" s="2" t="str">
        <f t="shared" ca="1" si="0"/>
        <v/>
      </c>
    </row>
    <row r="19" spans="1:1">
      <c r="A19" s="2" t="str">
        <f t="shared" ca="1" si="0"/>
        <v/>
      </c>
    </row>
    <row r="20" spans="1:1">
      <c r="A20" s="2" t="str">
        <f t="shared" ca="1" si="0"/>
        <v/>
      </c>
    </row>
    <row r="21" spans="1:1">
      <c r="A21" s="2" t="str">
        <f t="shared" ca="1" si="0"/>
        <v/>
      </c>
    </row>
    <row r="22" spans="1:1">
      <c r="A22" s="2" t="str">
        <f t="shared" ca="1" si="0"/>
        <v/>
      </c>
    </row>
    <row r="23" spans="1:1">
      <c r="A23" s="2" t="str">
        <f t="shared" ca="1" si="0"/>
        <v/>
      </c>
    </row>
    <row r="24" spans="1:1">
      <c r="A24" s="2" t="str">
        <f t="shared" ca="1" si="0"/>
        <v/>
      </c>
    </row>
    <row r="25" spans="1:1">
      <c r="A25" s="2" t="str">
        <f t="shared" ca="1" si="0"/>
        <v/>
      </c>
    </row>
    <row r="26" spans="1:1">
      <c r="A26" s="2" t="str">
        <f t="shared" ca="1" si="0"/>
        <v/>
      </c>
    </row>
  </sheetData>
  <conditionalFormatting sqref="A1">
    <cfRule type="notContainsErrors" dxfId="3" priority="1">
      <formula>NOT(ISERROR(A1))</formula>
    </cfRule>
  </conditionalFormatting>
  <conditionalFormatting sqref="B1">
    <cfRule type="notContainsErrors" dxfId="2" priority="2">
      <formula>NOT(ISERROR(B1))</formula>
    </cfRule>
  </conditionalFormatting>
  <conditionalFormatting sqref="C1">
    <cfRule type="notContainsErrors" dxfId="1" priority="3">
      <formula>NOT(ISERROR(C1))</formula>
    </cfRule>
  </conditionalFormatting>
  <conditionalFormatting sqref="D1">
    <cfRule type="notContainsErrors" dxfId="0" priority="4">
      <formula>NOT(ISERROR(D1))</formula>
    </cfRule>
  </conditionalFormatting>
  <dataValidations count="2">
    <dataValidation type="list" allowBlank="1" showInputMessage="1" sqref="B2:B25" xr:uid="{00000000-0002-0000-0C00-000000000000}">
      <formula1>"lipid-reversed-phase,polar-HILIC,polar-reversed-phase,polar-reversed-phase-ion-pairing,unknown"</formula1>
    </dataValidation>
    <dataValidation type="list" allowBlank="1" showInputMessage="1" sqref="C2:C25" xr:uid="{00000000-0002-0000-0C00-000001000000}">
      <formula1>"25.0"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Study</vt:lpstr>
      <vt:lpstr>Tracers</vt:lpstr>
      <vt:lpstr>Infusates</vt:lpstr>
      <vt:lpstr>Animals</vt:lpstr>
      <vt:lpstr>Samples</vt:lpstr>
      <vt:lpstr>Sequences</vt:lpstr>
      <vt:lpstr>Peak Annotation Files</vt:lpstr>
      <vt:lpstr>Peak Annotation Details</vt:lpstr>
      <vt:lpstr>Peak Group Conflicts</vt:lpstr>
      <vt:lpstr>Treatments</vt:lpstr>
      <vt:lpstr>Tissues</vt:lpstr>
      <vt:lpstr>Compounds</vt:lpstr>
      <vt:lpstr>LC Protocols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Robert W. Leach</cp:lastModifiedBy>
  <dcterms:created xsi:type="dcterms:W3CDTF">2024-12-27T21:15:31Z</dcterms:created>
  <dcterms:modified xsi:type="dcterms:W3CDTF">2026-07-06T18:36:34Z</dcterms:modified>
</cp:coreProperties>
</file>